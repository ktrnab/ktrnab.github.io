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Rate Table" sheetId="2" state="visible" r:id="rId2"/>
    <sheet xmlns:r="http://schemas.openxmlformats.org/officeDocument/2006/relationships" name="Station Specs" sheetId="3" state="visible" r:id="rId3"/>
    <sheet xmlns:r="http://schemas.openxmlformats.org/officeDocument/2006/relationships" name="Raw Data" sheetId="4" state="visible" r:id="rId4"/>
    <sheet xmlns:r="http://schemas.openxmlformats.org/officeDocument/2006/relationships" name="Duck Curve" sheetId="5" state="visible" r:id="rId5"/>
    <sheet xmlns:r="http://schemas.openxmlformats.org/officeDocument/2006/relationships" name="Station Summa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$0.000"/>
    <numFmt numFmtId="165" formatCode="0.0%"/>
    <numFmt numFmtId="166" formatCode="+0.0;-0.0;0.0"/>
    <numFmt numFmtId="167" formatCode="$#,##0"/>
  </numFmts>
  <fonts count="12">
    <font>
      <name val="Calibri"/>
      <family val="2"/>
      <color theme="1"/>
      <sz val="11"/>
      <scheme val="minor"/>
    </font>
    <font>
      <b val="1"/>
      <color rgb="00FFFFFF"/>
      <sz val="13"/>
    </font>
    <font>
      <b val="1"/>
      <color rgb="00FFFFFF"/>
      <sz val="9"/>
    </font>
    <font>
      <color rgb="001A1A1A"/>
      <sz val="9"/>
    </font>
    <font>
      <b val="1"/>
      <color rgb="00FFFFFF"/>
      <sz val="8"/>
    </font>
    <font>
      <color rgb="001A1A1A"/>
      <sz val="8"/>
    </font>
    <font>
      <b val="1"/>
      <color rgb="001A1A1A"/>
      <sz val="9"/>
    </font>
    <font>
      <b val="1"/>
      <color rgb="00FFFFFF"/>
      <sz val="14"/>
    </font>
    <font>
      <i val="1"/>
      <color rgb="00555555"/>
      <sz val="9"/>
    </font>
    <font>
      <color rgb="00666666"/>
      <sz val="8"/>
    </font>
    <font>
      <b val="1"/>
      <color rgb="001A4731"/>
      <sz val="16"/>
    </font>
    <font>
      <i val="1"/>
      <color rgb="00888888"/>
      <sz val="7"/>
    </font>
  </fonts>
  <fills count="12">
    <fill>
      <patternFill/>
    </fill>
    <fill>
      <patternFill patternType="gray125"/>
    </fill>
    <fill>
      <patternFill patternType="solid">
        <fgColor rgb="001A4731"/>
      </patternFill>
    </fill>
    <fill>
      <patternFill patternType="solid">
        <fgColor rgb="002D6A4F"/>
      </patternFill>
    </fill>
    <fill>
      <patternFill patternType="solid">
        <fgColor rgb="00D6EAF8"/>
      </patternFill>
    </fill>
    <fill>
      <patternFill patternType="solid">
        <fgColor rgb="00FFF3CD"/>
      </patternFill>
    </fill>
    <fill>
      <patternFill patternType="solid">
        <fgColor rgb="00FFD6D6"/>
      </patternFill>
    </fill>
    <fill>
      <patternFill patternType="solid">
        <fgColor rgb="00B7E4C7"/>
      </patternFill>
    </fill>
    <fill>
      <patternFill patternType="solid">
        <fgColor rgb="00FFFFFF"/>
      </patternFill>
    </fill>
    <fill>
      <patternFill patternType="solid">
        <fgColor rgb="00F2F2F2"/>
      </patternFill>
    </fill>
    <fill>
      <patternFill patternType="solid">
        <fgColor rgb="00FDEBD0"/>
      </patternFill>
    </fill>
    <fill>
      <patternFill patternType="solid">
        <fgColor rgb="00E8DAE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7" fillId="2" borderId="0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center" vertical="center" wrapText="1"/>
    </xf>
    <xf numFmtId="0" fontId="9" fillId="7" borderId="0" applyAlignment="1" pivotButton="0" quotePrefix="0" xfId="0">
      <alignment horizontal="center" vertical="center" wrapText="1"/>
    </xf>
    <xf numFmtId="0" fontId="9" fillId="4" borderId="0" applyAlignment="1" pivotButton="0" quotePrefix="0" xfId="0">
      <alignment horizontal="center" vertical="center" wrapText="1"/>
    </xf>
    <xf numFmtId="0" fontId="9" fillId="5" borderId="0" applyAlignment="1" pivotButton="0" quotePrefix="0" xfId="0">
      <alignment horizontal="center" vertical="center" wrapText="1"/>
    </xf>
    <xf numFmtId="0" fontId="9" fillId="10" borderId="0" applyAlignment="1" pivotButton="0" quotePrefix="0" xfId="0">
      <alignment horizontal="center" vertical="center" wrapText="1"/>
    </xf>
    <xf numFmtId="0" fontId="9" fillId="11" borderId="0" applyAlignment="1" pivotButton="0" quotePrefix="0" xfId="0">
      <alignment horizontal="center" vertical="center" wrapText="1"/>
    </xf>
    <xf numFmtId="0" fontId="10" fillId="7" borderId="0" applyAlignment="1" pivotButton="0" quotePrefix="0" xfId="0">
      <alignment horizontal="center" vertical="center" wrapText="1"/>
    </xf>
    <xf numFmtId="0" fontId="10" fillId="4" borderId="0" applyAlignment="1" pivotButton="0" quotePrefix="0" xfId="0">
      <alignment horizontal="center" vertical="center" wrapText="1"/>
    </xf>
    <xf numFmtId="0" fontId="10" fillId="5" borderId="0" applyAlignment="1" pivotButton="0" quotePrefix="0" xfId="0">
      <alignment horizontal="center" vertical="center" wrapText="1"/>
    </xf>
    <xf numFmtId="0" fontId="10" fillId="10" borderId="0" applyAlignment="1" pivotButton="0" quotePrefix="0" xfId="0">
      <alignment horizontal="center" vertical="center" wrapText="1"/>
    </xf>
    <xf numFmtId="0" fontId="10" fillId="11" borderId="0" applyAlignment="1" pivotButton="0" quotePrefix="0" xfId="0">
      <alignment horizontal="center" vertical="center" wrapText="1"/>
    </xf>
    <xf numFmtId="0" fontId="11" fillId="7" borderId="0" applyAlignment="1" pivotButton="0" quotePrefix="0" xfId="0">
      <alignment horizontal="center" vertical="center" wrapText="1"/>
    </xf>
    <xf numFmtId="0" fontId="11" fillId="4" borderId="0" applyAlignment="1" pivotButton="0" quotePrefix="0" xfId="0">
      <alignment horizontal="center" vertical="center" wrapText="1"/>
    </xf>
    <xf numFmtId="0" fontId="11" fillId="5" borderId="0" applyAlignment="1" pivotButton="0" quotePrefix="0" xfId="0">
      <alignment horizontal="center" vertical="center" wrapText="1"/>
    </xf>
    <xf numFmtId="0" fontId="11" fillId="10" borderId="0" applyAlignment="1" pivotButton="0" quotePrefix="0" xfId="0">
      <alignment horizontal="center" vertical="center" wrapText="1"/>
    </xf>
    <xf numFmtId="0" fontId="11" fillId="11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9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164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164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164" fontId="3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center" vertical="center" wrapText="1"/>
    </xf>
    <xf numFmtId="165" fontId="5" fillId="8" borderId="1" applyAlignment="1" pivotButton="0" quotePrefix="0" xfId="0">
      <alignment horizontal="center" vertical="center" wrapText="1"/>
    </xf>
    <xf numFmtId="166" fontId="5" fillId="8" borderId="1" applyAlignment="1" pivotButton="0" quotePrefix="0" xfId="0">
      <alignment horizontal="center" vertical="center" wrapText="1"/>
    </xf>
    <xf numFmtId="164" fontId="5" fillId="0" borderId="1" applyAlignment="1" pivotButton="0" quotePrefix="0" xfId="0">
      <alignment horizontal="center" vertical="center" wrapText="1"/>
    </xf>
    <xf numFmtId="167" fontId="5" fillId="0" borderId="1" applyAlignment="1" pivotButton="0" quotePrefix="0" xfId="0">
      <alignment horizontal="center" vertical="center" wrapText="1"/>
    </xf>
    <xf numFmtId="0" fontId="5" fillId="9" borderId="1" applyAlignment="1" pivotButton="0" quotePrefix="0" xfId="0">
      <alignment horizontal="center" vertical="center" wrapText="1"/>
    </xf>
    <xf numFmtId="165" fontId="5" fillId="9" borderId="1" applyAlignment="1" pivotButton="0" quotePrefix="0" xfId="0">
      <alignment horizontal="center" vertical="center" wrapText="1"/>
    </xf>
    <xf numFmtId="166" fontId="5" fillId="9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 wrapText="1"/>
    </xf>
    <xf numFmtId="167" fontId="3" fillId="4" borderId="1" applyAlignment="1" pivotButton="0" quotePrefix="0" xfId="0">
      <alignment horizontal="center" vertical="center" wrapText="1"/>
    </xf>
    <xf numFmtId="0" fontId="6" fillId="7" borderId="1" applyAlignment="1" pivotButton="0" quotePrefix="0" xfId="0">
      <alignment horizontal="center" vertical="center" wrapText="1"/>
    </xf>
    <xf numFmtId="167" fontId="3" fillId="7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center" vertical="center" wrapText="1"/>
    </xf>
    <xf numFmtId="167" fontId="3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dxfs count="2">
    <dxf>
      <fill>
        <patternFill patternType="solid">
          <fgColor rgb="00C8E6C9"/>
        </patternFill>
      </fill>
    </dxf>
    <dxf>
      <fill>
        <patternFill patternType="solid">
          <f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"/>
  <sheetViews>
    <sheetView showGridLines="0" workbookViewId="0">
      <selection activeCell="A1" sqref="A1"/>
    </sheetView>
  </sheetViews>
  <sheetFormatPr baseColWidth="8" defaultRowHeight="15"/>
  <sheetData>
    <row r="1" ht="32" customHeight="1">
      <c r="A1" s="1" t="inlineStr">
        <is>
          <t>EV Charging Network — Operational Intelligence Dashboard</t>
        </is>
      </c>
    </row>
    <row r="2">
      <c r="A2" s="2" t="inlineStr">
        <is>
          <t>BayWa Mobility Solutions  ·  FY 2024–2025  ·  Charging Network Performance Review</t>
        </is>
      </c>
    </row>
    <row r="4" ht="18" customHeight="1">
      <c r="A4" s="3" t="inlineStr">
        <is>
          <t>Total Energy Delivered</t>
        </is>
      </c>
      <c r="C4" s="4" t="inlineStr">
        <is>
          <t>Total Sessions</t>
        </is>
      </c>
      <c r="E4" s="5" t="inlineStr">
        <is>
          <t>Avg DCFC Utilisation</t>
        </is>
      </c>
      <c r="G4" s="6" t="inlineStr">
        <is>
          <t>Peak Load Hour</t>
        </is>
      </c>
      <c r="I4" s="7" t="inlineStr">
        <is>
          <t>Est. Annual Revenue</t>
        </is>
      </c>
    </row>
    <row r="5" ht="32" customHeight="1">
      <c r="A5" s="8" t="inlineStr">
        <is>
          <t>188.5 MWh</t>
        </is>
      </c>
      <c r="C5" s="9" t="inlineStr">
        <is>
          <t>7,821</t>
        </is>
      </c>
      <c r="E5" s="10" t="inlineStr">
        <is>
          <t>66%</t>
        </is>
      </c>
      <c r="G5" s="11" t="inlineStr">
        <is>
          <t>18:00 – 20:00</t>
        </is>
      </c>
      <c r="I5" s="12" t="inlineStr">
        <is>
          <t>$41,087</t>
        </is>
      </c>
    </row>
    <row r="6" ht="20" customHeight="1">
      <c r="A6" s="13" t="inlineStr">
        <is>
          <t>2023 Total</t>
        </is>
      </c>
      <c r="C6" s="14" t="inlineStr">
        <is>
          <t>2023 Total</t>
        </is>
      </c>
      <c r="E6" s="15" t="inlineStr">
        <is>
          <t>2023 Total</t>
        </is>
      </c>
      <c r="G6" s="16" t="inlineStr">
        <is>
          <t>2023 Total</t>
        </is>
      </c>
      <c r="I6" s="17" t="inlineStr">
        <is>
          <t>2023 Total</t>
        </is>
      </c>
    </row>
    <row r="7" ht="8" customHeight="1"/>
    <row r="8">
      <c r="A8" s="18" t="inlineStr">
        <is>
          <t>Station Type</t>
        </is>
      </c>
      <c r="B8" s="18" t="inlineStr">
        <is>
          <t>Avg Utilisation</t>
        </is>
      </c>
      <c r="C8" s="18" t="inlineStr">
        <is>
          <t>Target</t>
        </is>
      </c>
      <c r="E8" s="18" t="inlineStr">
        <is>
          <t>Month</t>
        </is>
      </c>
      <c r="F8" s="18" t="inlineStr">
        <is>
          <t>DCFC Util.</t>
        </is>
      </c>
      <c r="G8" s="18" t="inlineStr">
        <is>
          <t>Target (65%)</t>
        </is>
      </c>
    </row>
    <row r="9">
      <c r="A9" t="inlineStr">
        <is>
          <t>Level 1</t>
        </is>
      </c>
      <c r="B9" s="19" t="n">
        <v>0.267</v>
      </c>
      <c r="C9" s="19" t="n">
        <v>0.28</v>
      </c>
      <c r="E9" t="inlineStr">
        <is>
          <t>Jan</t>
        </is>
      </c>
      <c r="F9" s="19" t="n">
        <v>0.6</v>
      </c>
      <c r="G9" s="19" t="n">
        <v>0.65</v>
      </c>
    </row>
    <row r="10">
      <c r="A10" t="inlineStr">
        <is>
          <t>Level 2</t>
        </is>
      </c>
      <c r="B10" s="19" t="n">
        <v>0.44</v>
      </c>
      <c r="C10" s="19" t="n">
        <v>0.42</v>
      </c>
      <c r="E10" t="inlineStr">
        <is>
          <t>Feb</t>
        </is>
      </c>
      <c r="F10" s="19" t="n">
        <v>0.57</v>
      </c>
      <c r="G10" s="19" t="n">
        <v>0.65</v>
      </c>
    </row>
    <row r="11">
      <c r="A11" t="inlineStr">
        <is>
          <t>DC Fast</t>
        </is>
      </c>
      <c r="B11" s="19" t="n">
        <v>0.66</v>
      </c>
      <c r="C11" s="19" t="n">
        <v>0.65</v>
      </c>
      <c r="E11" t="inlineStr">
        <is>
          <t>Mar</t>
        </is>
      </c>
      <c r="F11" s="19" t="n">
        <v>0.63</v>
      </c>
      <c r="G11" s="19" t="n">
        <v>0.65</v>
      </c>
    </row>
    <row r="12">
      <c r="E12" t="inlineStr">
        <is>
          <t>Apr</t>
        </is>
      </c>
      <c r="F12" s="19" t="n">
        <v>0.66</v>
      </c>
      <c r="G12" s="19" t="n">
        <v>0.65</v>
      </c>
    </row>
    <row r="13">
      <c r="E13" t="inlineStr">
        <is>
          <t>May</t>
        </is>
      </c>
      <c r="F13" s="19" t="n">
        <v>0.7</v>
      </c>
      <c r="G13" s="19" t="n">
        <v>0.65</v>
      </c>
    </row>
    <row r="14">
      <c r="E14" t="inlineStr">
        <is>
          <t>Jun</t>
        </is>
      </c>
      <c r="F14" s="19" t="n">
        <v>0.72</v>
      </c>
      <c r="G14" s="19" t="n">
        <v>0.65</v>
      </c>
    </row>
    <row r="15">
      <c r="E15" t="inlineStr">
        <is>
          <t>Jul</t>
        </is>
      </c>
      <c r="F15" s="19" t="n">
        <v>0.74</v>
      </c>
      <c r="G15" s="19" t="n">
        <v>0.65</v>
      </c>
    </row>
    <row r="16">
      <c r="E16" t="inlineStr">
        <is>
          <t>Aug</t>
        </is>
      </c>
      <c r="F16" s="19" t="n">
        <v>0.73</v>
      </c>
      <c r="G16" s="19" t="n">
        <v>0.65</v>
      </c>
    </row>
    <row r="17">
      <c r="E17" t="inlineStr">
        <is>
          <t>Sep</t>
        </is>
      </c>
      <c r="F17" s="19" t="n">
        <v>0.7</v>
      </c>
      <c r="G17" s="19" t="n">
        <v>0.65</v>
      </c>
    </row>
    <row r="18">
      <c r="E18" t="inlineStr">
        <is>
          <t>Oct</t>
        </is>
      </c>
      <c r="F18" s="19" t="n">
        <v>0.67</v>
      </c>
      <c r="G18" s="19" t="n">
        <v>0.65</v>
      </c>
    </row>
    <row r="19">
      <c r="E19" t="inlineStr">
        <is>
          <t>Nov</t>
        </is>
      </c>
      <c r="F19" s="19" t="n">
        <v>0.62</v>
      </c>
      <c r="G19" s="19" t="n">
        <v>0.65</v>
      </c>
    </row>
    <row r="20">
      <c r="E20" t="inlineStr">
        <is>
          <t>Dec</t>
        </is>
      </c>
      <c r="F20" s="19" t="n">
        <v>0.58</v>
      </c>
      <c r="G20" s="19" t="n">
        <v>0.65</v>
      </c>
    </row>
  </sheetData>
  <mergeCells count="17">
    <mergeCell ref="A4:B4"/>
    <mergeCell ref="G4:H4"/>
    <mergeCell ref="E4:F4"/>
    <mergeCell ref="E6:F6"/>
    <mergeCell ref="C6:D6"/>
    <mergeCell ref="I4:J4"/>
    <mergeCell ref="I6:J6"/>
    <mergeCell ref="C5:D5"/>
    <mergeCell ref="A5:B5"/>
    <mergeCell ref="A2:K2"/>
    <mergeCell ref="E5:F5"/>
    <mergeCell ref="G5:H5"/>
    <mergeCell ref="I5:J5"/>
    <mergeCell ref="G6:H6"/>
    <mergeCell ref="A1:K1"/>
    <mergeCell ref="A6:B6"/>
    <mergeCell ref="C4:D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6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20" customWidth="1" min="2" max="2"/>
    <col width="16" customWidth="1" min="3" max="3"/>
    <col width="14" customWidth="1" min="4" max="4"/>
  </cols>
  <sheetData>
    <row r="1" ht="28" customHeight="1">
      <c r="A1" s="20" t="inlineStr">
        <is>
          <t>EV Charging — Time-of-Use Rate Table</t>
        </is>
      </c>
    </row>
    <row r="2">
      <c r="A2" s="21" t="inlineStr">
        <is>
          <t>Period</t>
        </is>
      </c>
      <c r="B2" s="21" t="inlineStr">
        <is>
          <t>Start Hour (0–23)</t>
        </is>
      </c>
      <c r="C2" s="21" t="inlineStr">
        <is>
          <t>Rate ($/kWh)</t>
        </is>
      </c>
      <c r="D2" s="21" t="inlineStr">
        <is>
          <t>Rate Band</t>
        </is>
      </c>
    </row>
    <row r="3">
      <c r="A3" s="22" t="inlineStr">
        <is>
          <t>Off-Peak</t>
        </is>
      </c>
      <c r="B3" s="22" t="n">
        <v>0</v>
      </c>
      <c r="C3" s="23" t="n">
        <v>0.082</v>
      </c>
      <c r="D3" s="22" t="inlineStr">
        <is>
          <t>Low</t>
        </is>
      </c>
    </row>
    <row r="4">
      <c r="A4" s="22" t="inlineStr">
        <is>
          <t>Off-Peak</t>
        </is>
      </c>
      <c r="B4" s="22" t="n">
        <v>1</v>
      </c>
      <c r="C4" s="23" t="n">
        <v>0.082</v>
      </c>
      <c r="D4" s="22" t="inlineStr">
        <is>
          <t>Low</t>
        </is>
      </c>
    </row>
    <row r="5">
      <c r="A5" s="22" t="inlineStr">
        <is>
          <t>Off-Peak</t>
        </is>
      </c>
      <c r="B5" s="22" t="n">
        <v>2</v>
      </c>
      <c r="C5" s="23" t="n">
        <v>0.082</v>
      </c>
      <c r="D5" s="22" t="inlineStr">
        <is>
          <t>Low</t>
        </is>
      </c>
    </row>
    <row r="6">
      <c r="A6" s="22" t="inlineStr">
        <is>
          <t>Off-Peak</t>
        </is>
      </c>
      <c r="B6" s="22" t="n">
        <v>3</v>
      </c>
      <c r="C6" s="23" t="n">
        <v>0.082</v>
      </c>
      <c r="D6" s="22" t="inlineStr">
        <is>
          <t>Low</t>
        </is>
      </c>
    </row>
    <row r="7">
      <c r="A7" s="22" t="inlineStr">
        <is>
          <t>Off-Peak</t>
        </is>
      </c>
      <c r="B7" s="22" t="n">
        <v>4</v>
      </c>
      <c r="C7" s="23" t="n">
        <v>0.082</v>
      </c>
      <c r="D7" s="22" t="inlineStr">
        <is>
          <t>Low</t>
        </is>
      </c>
    </row>
    <row r="8">
      <c r="A8" s="22" t="inlineStr">
        <is>
          <t>Off-Peak</t>
        </is>
      </c>
      <c r="B8" s="22" t="n">
        <v>5</v>
      </c>
      <c r="C8" s="23" t="n">
        <v>0.082</v>
      </c>
      <c r="D8" s="22" t="inlineStr">
        <is>
          <t>Low</t>
        </is>
      </c>
    </row>
    <row r="9">
      <c r="A9" s="22" t="inlineStr">
        <is>
          <t>Off-Peak</t>
        </is>
      </c>
      <c r="B9" s="22" t="n">
        <v>6</v>
      </c>
      <c r="C9" s="23" t="n">
        <v>0.082</v>
      </c>
      <c r="D9" s="22" t="inlineStr">
        <is>
          <t>Low</t>
        </is>
      </c>
    </row>
    <row r="10">
      <c r="A10" s="24" t="inlineStr">
        <is>
          <t>Mid-Peak</t>
        </is>
      </c>
      <c r="B10" s="24" t="n">
        <v>7</v>
      </c>
      <c r="C10" s="25" t="n">
        <v>0.142</v>
      </c>
      <c r="D10" s="24" t="inlineStr">
        <is>
          <t>Medium</t>
        </is>
      </c>
    </row>
    <row r="11">
      <c r="A11" s="24" t="inlineStr">
        <is>
          <t>Mid-Peak</t>
        </is>
      </c>
      <c r="B11" s="24" t="n">
        <v>8</v>
      </c>
      <c r="C11" s="25" t="n">
        <v>0.142</v>
      </c>
      <c r="D11" s="24" t="inlineStr">
        <is>
          <t>Medium</t>
        </is>
      </c>
    </row>
    <row r="12">
      <c r="A12" s="24" t="inlineStr">
        <is>
          <t>Mid-Peak</t>
        </is>
      </c>
      <c r="B12" s="24" t="n">
        <v>9</v>
      </c>
      <c r="C12" s="25" t="n">
        <v>0.142</v>
      </c>
      <c r="D12" s="24" t="inlineStr">
        <is>
          <t>Medium</t>
        </is>
      </c>
    </row>
    <row r="13">
      <c r="A13" s="24" t="inlineStr">
        <is>
          <t>Mid-Peak</t>
        </is>
      </c>
      <c r="B13" s="24" t="n">
        <v>10</v>
      </c>
      <c r="C13" s="25" t="n">
        <v>0.142</v>
      </c>
      <c r="D13" s="24" t="inlineStr">
        <is>
          <t>Medium</t>
        </is>
      </c>
    </row>
    <row r="14">
      <c r="A14" s="24" t="inlineStr">
        <is>
          <t>Mid-Peak</t>
        </is>
      </c>
      <c r="B14" s="24" t="n">
        <v>11</v>
      </c>
      <c r="C14" s="25" t="n">
        <v>0.142</v>
      </c>
      <c r="D14" s="24" t="inlineStr">
        <is>
          <t>Medium</t>
        </is>
      </c>
    </row>
    <row r="15">
      <c r="A15" s="24" t="inlineStr">
        <is>
          <t>Mid-Peak</t>
        </is>
      </c>
      <c r="B15" s="24" t="n">
        <v>12</v>
      </c>
      <c r="C15" s="25" t="n">
        <v>0.142</v>
      </c>
      <c r="D15" s="24" t="inlineStr">
        <is>
          <t>Medium</t>
        </is>
      </c>
    </row>
    <row r="16">
      <c r="A16" s="24" t="inlineStr">
        <is>
          <t>Mid-Peak</t>
        </is>
      </c>
      <c r="B16" s="24" t="n">
        <v>13</v>
      </c>
      <c r="C16" s="25" t="n">
        <v>0.142</v>
      </c>
      <c r="D16" s="24" t="inlineStr">
        <is>
          <t>Medium</t>
        </is>
      </c>
    </row>
    <row r="17">
      <c r="A17" s="26" t="inlineStr">
        <is>
          <t>On-Peak</t>
        </is>
      </c>
      <c r="B17" s="26" t="n">
        <v>14</v>
      </c>
      <c r="C17" s="27" t="n">
        <v>0.218</v>
      </c>
      <c r="D17" s="26" t="inlineStr">
        <is>
          <t>High</t>
        </is>
      </c>
    </row>
    <row r="18">
      <c r="A18" s="26" t="inlineStr">
        <is>
          <t>On-Peak</t>
        </is>
      </c>
      <c r="B18" s="26" t="n">
        <v>15</v>
      </c>
      <c r="C18" s="27" t="n">
        <v>0.218</v>
      </c>
      <c r="D18" s="26" t="inlineStr">
        <is>
          <t>High</t>
        </is>
      </c>
    </row>
    <row r="19">
      <c r="A19" s="26" t="inlineStr">
        <is>
          <t>On-Peak</t>
        </is>
      </c>
      <c r="B19" s="26" t="n">
        <v>16</v>
      </c>
      <c r="C19" s="27" t="n">
        <v>0.218</v>
      </c>
      <c r="D19" s="26" t="inlineStr">
        <is>
          <t>High</t>
        </is>
      </c>
    </row>
    <row r="20">
      <c r="A20" s="26" t="inlineStr">
        <is>
          <t>On-Peak</t>
        </is>
      </c>
      <c r="B20" s="26" t="n">
        <v>17</v>
      </c>
      <c r="C20" s="27" t="n">
        <v>0.218</v>
      </c>
      <c r="D20" s="26" t="inlineStr">
        <is>
          <t>High</t>
        </is>
      </c>
    </row>
    <row r="21">
      <c r="A21" s="26" t="inlineStr">
        <is>
          <t>On-Peak</t>
        </is>
      </c>
      <c r="B21" s="26" t="n">
        <v>18</v>
      </c>
      <c r="C21" s="27" t="n">
        <v>0.218</v>
      </c>
      <c r="D21" s="26" t="inlineStr">
        <is>
          <t>High</t>
        </is>
      </c>
    </row>
    <row r="22">
      <c r="A22" s="26" t="inlineStr">
        <is>
          <t>On-Peak</t>
        </is>
      </c>
      <c r="B22" s="26" t="n">
        <v>19</v>
      </c>
      <c r="C22" s="27" t="n">
        <v>0.218</v>
      </c>
      <c r="D22" s="26" t="inlineStr">
        <is>
          <t>High</t>
        </is>
      </c>
    </row>
    <row r="23">
      <c r="A23" s="26" t="inlineStr">
        <is>
          <t>On-Peak</t>
        </is>
      </c>
      <c r="B23" s="26" t="n">
        <v>20</v>
      </c>
      <c r="C23" s="27" t="n">
        <v>0.218</v>
      </c>
      <c r="D23" s="26" t="inlineStr">
        <is>
          <t>High</t>
        </is>
      </c>
    </row>
    <row r="24">
      <c r="A24" s="26" t="inlineStr">
        <is>
          <t>On-Peak</t>
        </is>
      </c>
      <c r="B24" s="26" t="n">
        <v>21</v>
      </c>
      <c r="C24" s="27" t="n">
        <v>0.218</v>
      </c>
      <c r="D24" s="26" t="inlineStr">
        <is>
          <t>High</t>
        </is>
      </c>
    </row>
    <row r="25">
      <c r="A25" s="24" t="inlineStr">
        <is>
          <t>Mid-Peak</t>
        </is>
      </c>
      <c r="B25" s="24" t="n">
        <v>22</v>
      </c>
      <c r="C25" s="25" t="n">
        <v>0.142</v>
      </c>
      <c r="D25" s="24" t="inlineStr">
        <is>
          <t>Medium</t>
        </is>
      </c>
    </row>
    <row r="26">
      <c r="A26" s="22" t="inlineStr">
        <is>
          <t>Off-Peak</t>
        </is>
      </c>
      <c r="B26" s="22" t="n">
        <v>23</v>
      </c>
      <c r="C26" s="23" t="n">
        <v>0.082</v>
      </c>
      <c r="D26" s="22" t="inlineStr">
        <is>
          <t>Low</t>
        </is>
      </c>
    </row>
  </sheetData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22" customWidth="1" min="3" max="3"/>
    <col width="20" customWidth="1" min="4" max="4"/>
    <col width="20" customWidth="1" min="5" max="5"/>
    <col width="36" customWidth="1" min="6" max="6"/>
  </cols>
  <sheetData>
    <row r="1" ht="28" customHeight="1">
      <c r="A1" s="20" t="inlineStr">
        <is>
          <t>Station Hardware Specifications</t>
        </is>
      </c>
    </row>
    <row r="2">
      <c r="A2" s="21" t="inlineStr">
        <is>
          <t>Station Type</t>
        </is>
      </c>
      <c r="B2" s="21" t="inlineStr">
        <is>
          <t>Max Power (kW)</t>
        </is>
      </c>
      <c r="C2" s="21" t="inlineStr">
        <is>
          <t>Avg Session (hrs)</t>
        </is>
      </c>
      <c r="D2" s="21" t="inlineStr">
        <is>
          <t>Connector Type</t>
        </is>
      </c>
      <c r="E2" s="21" t="inlineStr">
        <is>
          <t>Target Utilisation</t>
        </is>
      </c>
      <c r="F2" s="21" t="inlineStr">
        <is>
          <t>Notes</t>
        </is>
      </c>
    </row>
    <row r="3">
      <c r="A3" s="22" t="inlineStr">
        <is>
          <t>Level 1 (L1)</t>
        </is>
      </c>
      <c r="B3" s="22" t="n">
        <v>1.4</v>
      </c>
      <c r="C3" s="22" t="n">
        <v>8.5</v>
      </c>
      <c r="D3" s="22" t="inlineStr">
        <is>
          <t>Standard 120V</t>
        </is>
      </c>
      <c r="E3" s="22" t="inlineStr">
        <is>
          <t>28%</t>
        </is>
      </c>
      <c r="F3" s="22" t="inlineStr">
        <is>
          <t>Overnight residential; lowest throughput</t>
        </is>
      </c>
    </row>
    <row r="4">
      <c r="A4" s="28" t="inlineStr">
        <is>
          <t>Level 2 (L2)</t>
        </is>
      </c>
      <c r="B4" s="28" t="n">
        <v>7.2</v>
      </c>
      <c r="C4" s="28" t="n">
        <v>2.8</v>
      </c>
      <c r="D4" s="28" t="inlineStr">
        <is>
          <t>J1772 / Type 2</t>
        </is>
      </c>
      <c r="E4" s="28" t="inlineStr">
        <is>
          <t>42%</t>
        </is>
      </c>
      <c r="F4" s="28" t="inlineStr">
        <is>
          <t>Primary fleet &amp; workplace charger</t>
        </is>
      </c>
    </row>
    <row r="5">
      <c r="A5" s="24" t="inlineStr">
        <is>
          <t>DC Fast Charger (DCFC)</t>
        </is>
      </c>
      <c r="B5" s="24" t="n">
        <v>150</v>
      </c>
      <c r="C5" s="24" t="n">
        <v>0.4</v>
      </c>
      <c r="D5" s="24" t="inlineStr">
        <is>
          <t>CCS / CHAdeMO</t>
        </is>
      </c>
      <c r="E5" s="24" t="inlineStr">
        <is>
          <t>65%</t>
        </is>
      </c>
      <c r="F5" s="24" t="inlineStr">
        <is>
          <t>Highway corridor; highest demand &amp; revenue</t>
        </is>
      </c>
    </row>
  </sheetData>
  <mergeCells count="1"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8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8" customWidth="1" min="2" max="2"/>
    <col width="10" customWidth="1" min="3" max="3"/>
    <col width="18" customWidth="1" min="4" max="4"/>
    <col width="20" customWidth="1" min="5" max="5"/>
    <col width="16" customWidth="1" min="6" max="6"/>
    <col width="14" customWidth="1" min="7" max="7"/>
    <col width="16" customWidth="1" min="8" max="8"/>
    <col width="14" customWidth="1" min="9" max="9"/>
    <col width="16" customWidth="1" min="10" max="10"/>
  </cols>
  <sheetData>
    <row r="1" ht="28" customHeight="1">
      <c r="A1" s="20" t="inlineStr">
        <is>
          <t>Monthly Charging Session Data — 2023</t>
        </is>
      </c>
    </row>
    <row r="2">
      <c r="A2" s="29" t="inlineStr">
        <is>
          <t>Station Type</t>
        </is>
      </c>
      <c r="B2" s="29" t="inlineStr">
        <is>
          <t>Month</t>
        </is>
      </c>
      <c r="C2" s="29" t="inlineStr">
        <is>
          <t>Sessions</t>
        </is>
      </c>
      <c r="D2" s="29" t="inlineStr">
        <is>
          <t>Avg kWh / Session</t>
        </is>
      </c>
      <c r="E2" s="29" t="inlineStr">
        <is>
          <t>Total kWh Delivered</t>
        </is>
      </c>
      <c r="F2" s="29" t="inlineStr">
        <is>
          <t>Utilisation Rate</t>
        </is>
      </c>
      <c r="G2" s="29" t="inlineStr">
        <is>
          <t>Target Util.</t>
        </is>
      </c>
      <c r="H2" s="29" t="inlineStr">
        <is>
          <t>vs Target (pp)</t>
        </is>
      </c>
      <c r="I2" s="29" t="inlineStr">
        <is>
          <t>Rate ($/kWh)</t>
        </is>
      </c>
      <c r="J2" s="29" t="inlineStr">
        <is>
          <t>Est. Revenue ($)</t>
        </is>
      </c>
    </row>
    <row r="3">
      <c r="A3" s="30" t="inlineStr">
        <is>
          <t>Level 2 (L2)</t>
        </is>
      </c>
      <c r="B3" s="30" t="inlineStr">
        <is>
          <t>Jan</t>
        </is>
      </c>
      <c r="C3" s="30" t="n">
        <v>312</v>
      </c>
      <c r="D3" s="30" t="n">
        <v>18.2</v>
      </c>
      <c r="E3" s="30" t="n">
        <v>5678.4</v>
      </c>
      <c r="F3" s="31" t="n">
        <v>0.38</v>
      </c>
      <c r="G3" s="31" t="n">
        <v>0.42</v>
      </c>
      <c r="H3" s="32" t="n">
        <v>-4</v>
      </c>
      <c r="I3" s="33">
        <f>VLOOKUP(17,'Rate Table'!$B$3:$C$26,2,TRUE)</f>
        <v/>
      </c>
      <c r="J3" s="34">
        <f>C3*D3*I3</f>
        <v/>
      </c>
    </row>
    <row r="4">
      <c r="A4" s="35" t="inlineStr">
        <is>
          <t>Level 2 (L2)</t>
        </is>
      </c>
      <c r="B4" s="35" t="inlineStr">
        <is>
          <t>Feb</t>
        </is>
      </c>
      <c r="C4" s="35" t="n">
        <v>285</v>
      </c>
      <c r="D4" s="35" t="n">
        <v>17.8</v>
      </c>
      <c r="E4" s="35" t="n">
        <v>5073</v>
      </c>
      <c r="F4" s="36" t="n">
        <v>0.36</v>
      </c>
      <c r="G4" s="36" t="n">
        <v>0.42</v>
      </c>
      <c r="H4" s="37" t="n">
        <v>-6</v>
      </c>
      <c r="I4" s="33">
        <f>VLOOKUP(17,'Rate Table'!$B$3:$C$26,2,TRUE)</f>
        <v/>
      </c>
      <c r="J4" s="34">
        <f>C4*D4*I4</f>
        <v/>
      </c>
    </row>
    <row r="5">
      <c r="A5" s="30" t="inlineStr">
        <is>
          <t>Level 2 (L2)</t>
        </is>
      </c>
      <c r="B5" s="30" t="inlineStr">
        <is>
          <t>Mar</t>
        </is>
      </c>
      <c r="C5" s="30" t="n">
        <v>340</v>
      </c>
      <c r="D5" s="30" t="n">
        <v>19.1</v>
      </c>
      <c r="E5" s="30" t="n">
        <v>6494</v>
      </c>
      <c r="F5" s="31" t="n">
        <v>0.4</v>
      </c>
      <c r="G5" s="31" t="n">
        <v>0.42</v>
      </c>
      <c r="H5" s="32" t="n">
        <v>-2</v>
      </c>
      <c r="I5" s="33">
        <f>VLOOKUP(17,'Rate Table'!$B$3:$C$26,2,TRUE)</f>
        <v/>
      </c>
      <c r="J5" s="34">
        <f>C5*D5*I5</f>
        <v/>
      </c>
    </row>
    <row r="6">
      <c r="A6" s="35" t="inlineStr">
        <is>
          <t>Level 2 (L2)</t>
        </is>
      </c>
      <c r="B6" s="35" t="inlineStr">
        <is>
          <t>Apr</t>
        </is>
      </c>
      <c r="C6" s="35" t="n">
        <v>388</v>
      </c>
      <c r="D6" s="35" t="n">
        <v>20.4</v>
      </c>
      <c r="E6" s="35" t="n">
        <v>7915.2</v>
      </c>
      <c r="F6" s="36" t="n">
        <v>0.44</v>
      </c>
      <c r="G6" s="36" t="n">
        <v>0.42</v>
      </c>
      <c r="H6" s="37" t="n">
        <v>2</v>
      </c>
      <c r="I6" s="33">
        <f>VLOOKUP(17,'Rate Table'!$B$3:$C$26,2,TRUE)</f>
        <v/>
      </c>
      <c r="J6" s="34">
        <f>C6*D6*I6</f>
        <v/>
      </c>
    </row>
    <row r="7">
      <c r="A7" s="30" t="inlineStr">
        <is>
          <t>Level 2 (L2)</t>
        </is>
      </c>
      <c r="B7" s="30" t="inlineStr">
        <is>
          <t>May</t>
        </is>
      </c>
      <c r="C7" s="30" t="n">
        <v>421</v>
      </c>
      <c r="D7" s="30" t="n">
        <v>21</v>
      </c>
      <c r="E7" s="30" t="n">
        <v>8841</v>
      </c>
      <c r="F7" s="31" t="n">
        <v>0.48</v>
      </c>
      <c r="G7" s="31" t="n">
        <v>0.42</v>
      </c>
      <c r="H7" s="32" t="n">
        <v>6</v>
      </c>
      <c r="I7" s="33">
        <f>VLOOKUP(17,'Rate Table'!$B$3:$C$26,2,TRUE)</f>
        <v/>
      </c>
      <c r="J7" s="34">
        <f>C7*D7*I7</f>
        <v/>
      </c>
    </row>
    <row r="8">
      <c r="A8" s="35" t="inlineStr">
        <is>
          <t>Level 2 (L2)</t>
        </is>
      </c>
      <c r="B8" s="35" t="inlineStr">
        <is>
          <t>Jun</t>
        </is>
      </c>
      <c r="C8" s="35" t="n">
        <v>445</v>
      </c>
      <c r="D8" s="35" t="n">
        <v>21.5</v>
      </c>
      <c r="E8" s="35" t="n">
        <v>9567.5</v>
      </c>
      <c r="F8" s="36" t="n">
        <v>0.5</v>
      </c>
      <c r="G8" s="36" t="n">
        <v>0.42</v>
      </c>
      <c r="H8" s="37" t="n">
        <v>8</v>
      </c>
      <c r="I8" s="33">
        <f>VLOOKUP(17,'Rate Table'!$B$3:$C$26,2,TRUE)</f>
        <v/>
      </c>
      <c r="J8" s="34">
        <f>C8*D8*I8</f>
        <v/>
      </c>
    </row>
    <row r="9">
      <c r="A9" s="30" t="inlineStr">
        <is>
          <t>Level 2 (L2)</t>
        </is>
      </c>
      <c r="B9" s="30" t="inlineStr">
        <is>
          <t>Jul</t>
        </is>
      </c>
      <c r="C9" s="30" t="n">
        <v>458</v>
      </c>
      <c r="D9" s="30" t="n">
        <v>21.8</v>
      </c>
      <c r="E9" s="30" t="n">
        <v>9984.4</v>
      </c>
      <c r="F9" s="31" t="n">
        <v>0.52</v>
      </c>
      <c r="G9" s="31" t="n">
        <v>0.42</v>
      </c>
      <c r="H9" s="32" t="n">
        <v>10</v>
      </c>
      <c r="I9" s="33">
        <f>VLOOKUP(17,'Rate Table'!$B$3:$C$26,2,TRUE)</f>
        <v/>
      </c>
      <c r="J9" s="34">
        <f>C9*D9*I9</f>
        <v/>
      </c>
    </row>
    <row r="10">
      <c r="A10" s="35" t="inlineStr">
        <is>
          <t>Level 2 (L2)</t>
        </is>
      </c>
      <c r="B10" s="35" t="inlineStr">
        <is>
          <t>Aug</t>
        </is>
      </c>
      <c r="C10" s="35" t="n">
        <v>442</v>
      </c>
      <c r="D10" s="35" t="n">
        <v>21.3</v>
      </c>
      <c r="E10" s="35" t="n">
        <v>9414.6</v>
      </c>
      <c r="F10" s="36" t="n">
        <v>0.51</v>
      </c>
      <c r="G10" s="36" t="n">
        <v>0.42</v>
      </c>
      <c r="H10" s="37" t="n">
        <v>9</v>
      </c>
      <c r="I10" s="33">
        <f>VLOOKUP(17,'Rate Table'!$B$3:$C$26,2,TRUE)</f>
        <v/>
      </c>
      <c r="J10" s="34">
        <f>C10*D10*I10</f>
        <v/>
      </c>
    </row>
    <row r="11">
      <c r="A11" s="30" t="inlineStr">
        <is>
          <t>Level 2 (L2)</t>
        </is>
      </c>
      <c r="B11" s="30" t="inlineStr">
        <is>
          <t>Sep</t>
        </is>
      </c>
      <c r="C11" s="30" t="n">
        <v>415</v>
      </c>
      <c r="D11" s="30" t="n">
        <v>20.6</v>
      </c>
      <c r="E11" s="30" t="n">
        <v>8549</v>
      </c>
      <c r="F11" s="31" t="n">
        <v>0.49</v>
      </c>
      <c r="G11" s="31" t="n">
        <v>0.42</v>
      </c>
      <c r="H11" s="32" t="n">
        <v>7</v>
      </c>
      <c r="I11" s="33">
        <f>VLOOKUP(17,'Rate Table'!$B$3:$C$26,2,TRUE)</f>
        <v/>
      </c>
      <c r="J11" s="34">
        <f>C11*D11*I11</f>
        <v/>
      </c>
    </row>
    <row r="12">
      <c r="A12" s="35" t="inlineStr">
        <is>
          <t>Level 2 (L2)</t>
        </is>
      </c>
      <c r="B12" s="35" t="inlineStr">
        <is>
          <t>Oct</t>
        </is>
      </c>
      <c r="C12" s="35" t="n">
        <v>374</v>
      </c>
      <c r="D12" s="35" t="n">
        <v>19.5</v>
      </c>
      <c r="E12" s="35" t="n">
        <v>7293</v>
      </c>
      <c r="F12" s="36" t="n">
        <v>0.44</v>
      </c>
      <c r="G12" s="36" t="n">
        <v>0.42</v>
      </c>
      <c r="H12" s="37" t="n">
        <v>2</v>
      </c>
      <c r="I12" s="33">
        <f>VLOOKUP(17,'Rate Table'!$B$3:$C$26,2,TRUE)</f>
        <v/>
      </c>
      <c r="J12" s="34">
        <f>C12*D12*I12</f>
        <v/>
      </c>
    </row>
    <row r="13">
      <c r="A13" s="30" t="inlineStr">
        <is>
          <t>Level 2 (L2)</t>
        </is>
      </c>
      <c r="B13" s="30" t="inlineStr">
        <is>
          <t>Nov</t>
        </is>
      </c>
      <c r="C13" s="30" t="n">
        <v>325</v>
      </c>
      <c r="D13" s="30" t="n">
        <v>18</v>
      </c>
      <c r="E13" s="30" t="n">
        <v>5850</v>
      </c>
      <c r="F13" s="31" t="n">
        <v>0.4</v>
      </c>
      <c r="G13" s="31" t="n">
        <v>0.42</v>
      </c>
      <c r="H13" s="32" t="n">
        <v>-2</v>
      </c>
      <c r="I13" s="33">
        <f>VLOOKUP(17,'Rate Table'!$B$3:$C$26,2,TRUE)</f>
        <v/>
      </c>
      <c r="J13" s="34">
        <f>C13*D13*I13</f>
        <v/>
      </c>
    </row>
    <row r="14">
      <c r="A14" s="35" t="inlineStr">
        <is>
          <t>Level 2 (L2)</t>
        </is>
      </c>
      <c r="B14" s="35" t="inlineStr">
        <is>
          <t>Dec</t>
        </is>
      </c>
      <c r="C14" s="35" t="n">
        <v>298</v>
      </c>
      <c r="D14" s="35" t="n">
        <v>17.2</v>
      </c>
      <c r="E14" s="35" t="n">
        <v>5125.6</v>
      </c>
      <c r="F14" s="36" t="n">
        <v>0.36</v>
      </c>
      <c r="G14" s="36" t="n">
        <v>0.42</v>
      </c>
      <c r="H14" s="37" t="n">
        <v>-6</v>
      </c>
      <c r="I14" s="33">
        <f>VLOOKUP(17,'Rate Table'!$B$3:$C$26,2,TRUE)</f>
        <v/>
      </c>
      <c r="J14" s="34">
        <f>C14*D14*I14</f>
        <v/>
      </c>
    </row>
    <row r="15">
      <c r="A15" s="30" t="inlineStr">
        <is>
          <t>DC Fast Charger (DCFC)</t>
        </is>
      </c>
      <c r="B15" s="30" t="inlineStr">
        <is>
          <t>Jan</t>
        </is>
      </c>
      <c r="C15" s="30" t="n">
        <v>148</v>
      </c>
      <c r="D15" s="30" t="n">
        <v>38.5</v>
      </c>
      <c r="E15" s="30" t="n">
        <v>5698</v>
      </c>
      <c r="F15" s="31" t="n">
        <v>0.6</v>
      </c>
      <c r="G15" s="31" t="n">
        <v>0.65</v>
      </c>
      <c r="H15" s="32" t="n">
        <v>-5</v>
      </c>
      <c r="I15" s="33">
        <f>VLOOKUP(17,'Rate Table'!$B$3:$C$26,2,TRUE)</f>
        <v/>
      </c>
      <c r="J15" s="34">
        <f>C15*D15*I15</f>
        <v/>
      </c>
    </row>
    <row r="16">
      <c r="A16" s="35" t="inlineStr">
        <is>
          <t>DC Fast Charger (DCFC)</t>
        </is>
      </c>
      <c r="B16" s="35" t="inlineStr">
        <is>
          <t>Feb</t>
        </is>
      </c>
      <c r="C16" s="35" t="n">
        <v>132</v>
      </c>
      <c r="D16" s="35" t="n">
        <v>36.9</v>
      </c>
      <c r="E16" s="35" t="n">
        <v>4870.8</v>
      </c>
      <c r="F16" s="36" t="n">
        <v>0.57</v>
      </c>
      <c r="G16" s="36" t="n">
        <v>0.65</v>
      </c>
      <c r="H16" s="37" t="n">
        <v>-8</v>
      </c>
      <c r="I16" s="33">
        <f>VLOOKUP(17,'Rate Table'!$B$3:$C$26,2,TRUE)</f>
        <v/>
      </c>
      <c r="J16" s="34">
        <f>C16*D16*I16</f>
        <v/>
      </c>
    </row>
    <row r="17">
      <c r="A17" s="30" t="inlineStr">
        <is>
          <t>DC Fast Charger (DCFC)</t>
        </is>
      </c>
      <c r="B17" s="30" t="inlineStr">
        <is>
          <t>Mar</t>
        </is>
      </c>
      <c r="C17" s="30" t="n">
        <v>159</v>
      </c>
      <c r="D17" s="30" t="n">
        <v>40.2</v>
      </c>
      <c r="E17" s="30" t="n">
        <v>6391.8</v>
      </c>
      <c r="F17" s="31" t="n">
        <v>0.63</v>
      </c>
      <c r="G17" s="31" t="n">
        <v>0.65</v>
      </c>
      <c r="H17" s="32" t="n">
        <v>-2</v>
      </c>
      <c r="I17" s="33">
        <f>VLOOKUP(17,'Rate Table'!$B$3:$C$26,2,TRUE)</f>
        <v/>
      </c>
      <c r="J17" s="34">
        <f>C17*D17*I17</f>
        <v/>
      </c>
    </row>
    <row r="18">
      <c r="A18" s="35" t="inlineStr">
        <is>
          <t>DC Fast Charger (DCFC)</t>
        </is>
      </c>
      <c r="B18" s="35" t="inlineStr">
        <is>
          <t>Apr</t>
        </is>
      </c>
      <c r="C18" s="35" t="n">
        <v>178</v>
      </c>
      <c r="D18" s="35" t="n">
        <v>42.1</v>
      </c>
      <c r="E18" s="35" t="n">
        <v>7493.8</v>
      </c>
      <c r="F18" s="36" t="n">
        <v>0.66</v>
      </c>
      <c r="G18" s="36" t="n">
        <v>0.65</v>
      </c>
      <c r="H18" s="37" t="n">
        <v>1</v>
      </c>
      <c r="I18" s="33">
        <f>VLOOKUP(17,'Rate Table'!$B$3:$C$26,2,TRUE)</f>
        <v/>
      </c>
      <c r="J18" s="34">
        <f>C18*D18*I18</f>
        <v/>
      </c>
    </row>
    <row r="19">
      <c r="A19" s="30" t="inlineStr">
        <is>
          <t>DC Fast Charger (DCFC)</t>
        </is>
      </c>
      <c r="B19" s="30" t="inlineStr">
        <is>
          <t>May</t>
        </is>
      </c>
      <c r="C19" s="30" t="n">
        <v>196</v>
      </c>
      <c r="D19" s="30" t="n">
        <v>43.8</v>
      </c>
      <c r="E19" s="30" t="n">
        <v>8584.799999999999</v>
      </c>
      <c r="F19" s="31" t="n">
        <v>0.7</v>
      </c>
      <c r="G19" s="31" t="n">
        <v>0.65</v>
      </c>
      <c r="H19" s="32" t="n">
        <v>5</v>
      </c>
      <c r="I19" s="33">
        <f>VLOOKUP(17,'Rate Table'!$B$3:$C$26,2,TRUE)</f>
        <v/>
      </c>
      <c r="J19" s="34">
        <f>C19*D19*I19</f>
        <v/>
      </c>
    </row>
    <row r="20">
      <c r="A20" s="35" t="inlineStr">
        <is>
          <t>DC Fast Charger (DCFC)</t>
        </is>
      </c>
      <c r="B20" s="35" t="inlineStr">
        <is>
          <t>Jun</t>
        </is>
      </c>
      <c r="C20" s="35" t="n">
        <v>208</v>
      </c>
      <c r="D20" s="35" t="n">
        <v>44.5</v>
      </c>
      <c r="E20" s="35" t="n">
        <v>9256</v>
      </c>
      <c r="F20" s="36" t="n">
        <v>0.72</v>
      </c>
      <c r="G20" s="36" t="n">
        <v>0.65</v>
      </c>
      <c r="H20" s="37" t="n">
        <v>7</v>
      </c>
      <c r="I20" s="33">
        <f>VLOOKUP(17,'Rate Table'!$B$3:$C$26,2,TRUE)</f>
        <v/>
      </c>
      <c r="J20" s="34">
        <f>C20*D20*I20</f>
        <v/>
      </c>
    </row>
    <row r="21">
      <c r="A21" s="30" t="inlineStr">
        <is>
          <t>DC Fast Charger (DCFC)</t>
        </is>
      </c>
      <c r="B21" s="30" t="inlineStr">
        <is>
          <t>Jul</t>
        </is>
      </c>
      <c r="C21" s="30" t="n">
        <v>215</v>
      </c>
      <c r="D21" s="30" t="n">
        <v>45.2</v>
      </c>
      <c r="E21" s="30" t="n">
        <v>9718</v>
      </c>
      <c r="F21" s="31" t="n">
        <v>0.74</v>
      </c>
      <c r="G21" s="31" t="n">
        <v>0.65</v>
      </c>
      <c r="H21" s="32" t="n">
        <v>9</v>
      </c>
      <c r="I21" s="33">
        <f>VLOOKUP(17,'Rate Table'!$B$3:$C$26,2,TRUE)</f>
        <v/>
      </c>
      <c r="J21" s="34">
        <f>C21*D21*I21</f>
        <v/>
      </c>
    </row>
    <row r="22">
      <c r="A22" s="35" t="inlineStr">
        <is>
          <t>DC Fast Charger (DCFC)</t>
        </is>
      </c>
      <c r="B22" s="35" t="inlineStr">
        <is>
          <t>Aug</t>
        </is>
      </c>
      <c r="C22" s="35" t="n">
        <v>210</v>
      </c>
      <c r="D22" s="35" t="n">
        <v>44.8</v>
      </c>
      <c r="E22" s="35" t="n">
        <v>9408</v>
      </c>
      <c r="F22" s="36" t="n">
        <v>0.73</v>
      </c>
      <c r="G22" s="36" t="n">
        <v>0.65</v>
      </c>
      <c r="H22" s="37" t="n">
        <v>8</v>
      </c>
      <c r="I22" s="33">
        <f>VLOOKUP(17,'Rate Table'!$B$3:$C$26,2,TRUE)</f>
        <v/>
      </c>
      <c r="J22" s="34">
        <f>C22*D22*I22</f>
        <v/>
      </c>
    </row>
    <row r="23">
      <c r="A23" s="30" t="inlineStr">
        <is>
          <t>DC Fast Charger (DCFC)</t>
        </is>
      </c>
      <c r="B23" s="30" t="inlineStr">
        <is>
          <t>Sep</t>
        </is>
      </c>
      <c r="C23" s="30" t="n">
        <v>198</v>
      </c>
      <c r="D23" s="30" t="n">
        <v>43</v>
      </c>
      <c r="E23" s="30" t="n">
        <v>8514</v>
      </c>
      <c r="F23" s="31" t="n">
        <v>0.7</v>
      </c>
      <c r="G23" s="31" t="n">
        <v>0.65</v>
      </c>
      <c r="H23" s="32" t="n">
        <v>5</v>
      </c>
      <c r="I23" s="33">
        <f>VLOOKUP(17,'Rate Table'!$B$3:$C$26,2,TRUE)</f>
        <v/>
      </c>
      <c r="J23" s="34">
        <f>C23*D23*I23</f>
        <v/>
      </c>
    </row>
    <row r="24">
      <c r="A24" s="35" t="inlineStr">
        <is>
          <t>DC Fast Charger (DCFC)</t>
        </is>
      </c>
      <c r="B24" s="35" t="inlineStr">
        <is>
          <t>Oct</t>
        </is>
      </c>
      <c r="C24" s="35" t="n">
        <v>183</v>
      </c>
      <c r="D24" s="35" t="n">
        <v>41.2</v>
      </c>
      <c r="E24" s="35" t="n">
        <v>7539.6</v>
      </c>
      <c r="F24" s="36" t="n">
        <v>0.67</v>
      </c>
      <c r="G24" s="36" t="n">
        <v>0.65</v>
      </c>
      <c r="H24" s="37" t="n">
        <v>2</v>
      </c>
      <c r="I24" s="33">
        <f>VLOOKUP(17,'Rate Table'!$B$3:$C$26,2,TRUE)</f>
        <v/>
      </c>
      <c r="J24" s="34">
        <f>C24*D24*I24</f>
        <v/>
      </c>
    </row>
    <row r="25">
      <c r="A25" s="30" t="inlineStr">
        <is>
          <t>DC Fast Charger (DCFC)</t>
        </is>
      </c>
      <c r="B25" s="30" t="inlineStr">
        <is>
          <t>Nov</t>
        </is>
      </c>
      <c r="C25" s="30" t="n">
        <v>152</v>
      </c>
      <c r="D25" s="30" t="n">
        <v>38.8</v>
      </c>
      <c r="E25" s="30" t="n">
        <v>5897.6</v>
      </c>
      <c r="F25" s="31" t="n">
        <v>0.62</v>
      </c>
      <c r="G25" s="31" t="n">
        <v>0.65</v>
      </c>
      <c r="H25" s="32" t="n">
        <v>-3</v>
      </c>
      <c r="I25" s="33">
        <f>VLOOKUP(17,'Rate Table'!$B$3:$C$26,2,TRUE)</f>
        <v/>
      </c>
      <c r="J25" s="34">
        <f>C25*D25*I25</f>
        <v/>
      </c>
    </row>
    <row r="26">
      <c r="A26" s="35" t="inlineStr">
        <is>
          <t>DC Fast Charger (DCFC)</t>
        </is>
      </c>
      <c r="B26" s="35" t="inlineStr">
        <is>
          <t>Dec</t>
        </is>
      </c>
      <c r="C26" s="35" t="n">
        <v>138</v>
      </c>
      <c r="D26" s="35" t="n">
        <v>36.4</v>
      </c>
      <c r="E26" s="35" t="n">
        <v>5023.2</v>
      </c>
      <c r="F26" s="36" t="n">
        <v>0.58</v>
      </c>
      <c r="G26" s="36" t="n">
        <v>0.65</v>
      </c>
      <c r="H26" s="37" t="n">
        <v>-7</v>
      </c>
      <c r="I26" s="33">
        <f>VLOOKUP(17,'Rate Table'!$B$3:$C$26,2,TRUE)</f>
        <v/>
      </c>
      <c r="J26" s="34">
        <f>C26*D26*I26</f>
        <v/>
      </c>
    </row>
    <row r="27">
      <c r="A27" s="30" t="inlineStr">
        <is>
          <t>Level 1 (L1)</t>
        </is>
      </c>
      <c r="B27" s="30" t="inlineStr">
        <is>
          <t>Jan</t>
        </is>
      </c>
      <c r="C27" s="30" t="n">
        <v>87</v>
      </c>
      <c r="D27" s="30" t="n">
        <v>7.8</v>
      </c>
      <c r="E27" s="30" t="n">
        <v>678.6</v>
      </c>
      <c r="F27" s="31" t="n">
        <v>0.24</v>
      </c>
      <c r="G27" s="31" t="n">
        <v>0.28</v>
      </c>
      <c r="H27" s="32" t="n">
        <v>-4</v>
      </c>
      <c r="I27" s="33">
        <f>VLOOKUP(17,'Rate Table'!$B$3:$C$26,2,TRUE)</f>
        <v/>
      </c>
      <c r="J27" s="34">
        <f>C27*D27*I27</f>
        <v/>
      </c>
    </row>
    <row r="28">
      <c r="A28" s="35" t="inlineStr">
        <is>
          <t>Level 1 (L1)</t>
        </is>
      </c>
      <c r="B28" s="35" t="inlineStr">
        <is>
          <t>Feb</t>
        </is>
      </c>
      <c r="C28" s="35" t="n">
        <v>79</v>
      </c>
      <c r="D28" s="35" t="n">
        <v>7.2</v>
      </c>
      <c r="E28" s="35" t="n">
        <v>568.8</v>
      </c>
      <c r="F28" s="36" t="n">
        <v>0.22</v>
      </c>
      <c r="G28" s="36" t="n">
        <v>0.28</v>
      </c>
      <c r="H28" s="37" t="n">
        <v>-6</v>
      </c>
      <c r="I28" s="33">
        <f>VLOOKUP(17,'Rate Table'!$B$3:$C$26,2,TRUE)</f>
        <v/>
      </c>
      <c r="J28" s="34">
        <f>C28*D28*I28</f>
        <v/>
      </c>
    </row>
    <row r="29">
      <c r="A29" s="30" t="inlineStr">
        <is>
          <t>Level 1 (L1)</t>
        </is>
      </c>
      <c r="B29" s="30" t="inlineStr">
        <is>
          <t>Mar</t>
        </is>
      </c>
      <c r="C29" s="30" t="n">
        <v>92</v>
      </c>
      <c r="D29" s="30" t="n">
        <v>8.1</v>
      </c>
      <c r="E29" s="30" t="n">
        <v>745.2</v>
      </c>
      <c r="F29" s="31" t="n">
        <v>0.25</v>
      </c>
      <c r="G29" s="31" t="n">
        <v>0.28</v>
      </c>
      <c r="H29" s="32" t="n">
        <v>-3</v>
      </c>
      <c r="I29" s="33">
        <f>VLOOKUP(17,'Rate Table'!$B$3:$C$26,2,TRUE)</f>
        <v/>
      </c>
      <c r="J29" s="34">
        <f>C29*D29*I29</f>
        <v/>
      </c>
    </row>
    <row r="30">
      <c r="A30" s="35" t="inlineStr">
        <is>
          <t>Level 1 (L1)</t>
        </is>
      </c>
      <c r="B30" s="35" t="inlineStr">
        <is>
          <t>Apr</t>
        </is>
      </c>
      <c r="C30" s="35" t="n">
        <v>105</v>
      </c>
      <c r="D30" s="35" t="n">
        <v>8.9</v>
      </c>
      <c r="E30" s="35" t="n">
        <v>934.5</v>
      </c>
      <c r="F30" s="36" t="n">
        <v>0.28</v>
      </c>
      <c r="G30" s="36" t="n">
        <v>0.28</v>
      </c>
      <c r="H30" s="37" t="n">
        <v>0</v>
      </c>
      <c r="I30" s="33">
        <f>VLOOKUP(17,'Rate Table'!$B$3:$C$26,2,TRUE)</f>
        <v/>
      </c>
      <c r="J30" s="34">
        <f>C30*D30*I30</f>
        <v/>
      </c>
    </row>
    <row r="31">
      <c r="A31" s="30" t="inlineStr">
        <is>
          <t>Level 1 (L1)</t>
        </is>
      </c>
      <c r="B31" s="30" t="inlineStr">
        <is>
          <t>May</t>
        </is>
      </c>
      <c r="C31" s="30" t="n">
        <v>114</v>
      </c>
      <c r="D31" s="30" t="n">
        <v>9.199999999999999</v>
      </c>
      <c r="E31" s="30" t="n">
        <v>1048.8</v>
      </c>
      <c r="F31" s="31" t="n">
        <v>0.3</v>
      </c>
      <c r="G31" s="31" t="n">
        <v>0.28</v>
      </c>
      <c r="H31" s="32" t="n">
        <v>2</v>
      </c>
      <c r="I31" s="33">
        <f>VLOOKUP(17,'Rate Table'!$B$3:$C$26,2,TRUE)</f>
        <v/>
      </c>
      <c r="J31" s="34">
        <f>C31*D31*I31</f>
        <v/>
      </c>
    </row>
    <row r="32">
      <c r="A32" s="35" t="inlineStr">
        <is>
          <t>Level 1 (L1)</t>
        </is>
      </c>
      <c r="B32" s="35" t="inlineStr">
        <is>
          <t>Jun</t>
        </is>
      </c>
      <c r="C32" s="35" t="n">
        <v>120</v>
      </c>
      <c r="D32" s="35" t="n">
        <v>9.5</v>
      </c>
      <c r="E32" s="35" t="n">
        <v>1140</v>
      </c>
      <c r="F32" s="36" t="n">
        <v>0.31</v>
      </c>
      <c r="G32" s="36" t="n">
        <v>0.28</v>
      </c>
      <c r="H32" s="37" t="n">
        <v>3</v>
      </c>
      <c r="I32" s="33">
        <f>VLOOKUP(17,'Rate Table'!$B$3:$C$26,2,TRUE)</f>
        <v/>
      </c>
      <c r="J32" s="34">
        <f>C32*D32*I32</f>
        <v/>
      </c>
    </row>
    <row r="33">
      <c r="A33" s="30" t="inlineStr">
        <is>
          <t>Level 1 (L1)</t>
        </is>
      </c>
      <c r="B33" s="30" t="inlineStr">
        <is>
          <t>Jul</t>
        </is>
      </c>
      <c r="C33" s="30" t="n">
        <v>124</v>
      </c>
      <c r="D33" s="30" t="n">
        <v>9.6</v>
      </c>
      <c r="E33" s="30" t="n">
        <v>1190.4</v>
      </c>
      <c r="F33" s="31" t="n">
        <v>0.32</v>
      </c>
      <c r="G33" s="31" t="n">
        <v>0.28</v>
      </c>
      <c r="H33" s="32" t="n">
        <v>4</v>
      </c>
      <c r="I33" s="33">
        <f>VLOOKUP(17,'Rate Table'!$B$3:$C$26,2,TRUE)</f>
        <v/>
      </c>
      <c r="J33" s="34">
        <f>C33*D33*I33</f>
        <v/>
      </c>
    </row>
    <row r="34">
      <c r="A34" s="35" t="inlineStr">
        <is>
          <t>Level 1 (L1)</t>
        </is>
      </c>
      <c r="B34" s="35" t="inlineStr">
        <is>
          <t>Aug</t>
        </is>
      </c>
      <c r="C34" s="35" t="n">
        <v>118</v>
      </c>
      <c r="D34" s="35" t="n">
        <v>9.300000000000001</v>
      </c>
      <c r="E34" s="35" t="n">
        <v>1097.4</v>
      </c>
      <c r="F34" s="36" t="n">
        <v>0.3</v>
      </c>
      <c r="G34" s="36" t="n">
        <v>0.28</v>
      </c>
      <c r="H34" s="37" t="n">
        <v>2</v>
      </c>
      <c r="I34" s="33">
        <f>VLOOKUP(17,'Rate Table'!$B$3:$C$26,2,TRUE)</f>
        <v/>
      </c>
      <c r="J34" s="34">
        <f>C34*D34*I34</f>
        <v/>
      </c>
    </row>
    <row r="35">
      <c r="A35" s="30" t="inlineStr">
        <is>
          <t>Level 1 (L1)</t>
        </is>
      </c>
      <c r="B35" s="30" t="inlineStr">
        <is>
          <t>Sep</t>
        </is>
      </c>
      <c r="C35" s="30" t="n">
        <v>109</v>
      </c>
      <c r="D35" s="30" t="n">
        <v>8.800000000000001</v>
      </c>
      <c r="E35" s="30" t="n">
        <v>959.2</v>
      </c>
      <c r="F35" s="31" t="n">
        <v>0.28</v>
      </c>
      <c r="G35" s="31" t="n">
        <v>0.28</v>
      </c>
      <c r="H35" s="32" t="n">
        <v>0</v>
      </c>
      <c r="I35" s="33">
        <f>VLOOKUP(17,'Rate Table'!$B$3:$C$26,2,TRUE)</f>
        <v/>
      </c>
      <c r="J35" s="34">
        <f>C35*D35*I35</f>
        <v/>
      </c>
    </row>
    <row r="36">
      <c r="A36" s="35" t="inlineStr">
        <is>
          <t>Level 1 (L1)</t>
        </is>
      </c>
      <c r="B36" s="35" t="inlineStr">
        <is>
          <t>Oct</t>
        </is>
      </c>
      <c r="C36" s="35" t="n">
        <v>96</v>
      </c>
      <c r="D36" s="35" t="n">
        <v>8.199999999999999</v>
      </c>
      <c r="E36" s="35" t="n">
        <v>787.2</v>
      </c>
      <c r="F36" s="36" t="n">
        <v>0.26</v>
      </c>
      <c r="G36" s="36" t="n">
        <v>0.28</v>
      </c>
      <c r="H36" s="37" t="n">
        <v>-2</v>
      </c>
      <c r="I36" s="33">
        <f>VLOOKUP(17,'Rate Table'!$B$3:$C$26,2,TRUE)</f>
        <v/>
      </c>
      <c r="J36" s="34">
        <f>C36*D36*I36</f>
        <v/>
      </c>
    </row>
    <row r="37">
      <c r="A37" s="30" t="inlineStr">
        <is>
          <t>Level 1 (L1)</t>
        </is>
      </c>
      <c r="B37" s="30" t="inlineStr">
        <is>
          <t>Nov</t>
        </is>
      </c>
      <c r="C37" s="30" t="n">
        <v>82</v>
      </c>
      <c r="D37" s="30" t="n">
        <v>7.5</v>
      </c>
      <c r="E37" s="30" t="n">
        <v>615</v>
      </c>
      <c r="F37" s="31" t="n">
        <v>0.23</v>
      </c>
      <c r="G37" s="31" t="n">
        <v>0.28</v>
      </c>
      <c r="H37" s="32" t="n">
        <v>-5</v>
      </c>
      <c r="I37" s="33">
        <f>VLOOKUP(17,'Rate Table'!$B$3:$C$26,2,TRUE)</f>
        <v/>
      </c>
      <c r="J37" s="34">
        <f>C37*D37*I37</f>
        <v/>
      </c>
    </row>
    <row r="38">
      <c r="A38" s="35" t="inlineStr">
        <is>
          <t>Level 1 (L1)</t>
        </is>
      </c>
      <c r="B38" s="35" t="inlineStr">
        <is>
          <t>Dec</t>
        </is>
      </c>
      <c r="C38" s="35" t="n">
        <v>75</v>
      </c>
      <c r="D38" s="35" t="n">
        <v>7</v>
      </c>
      <c r="E38" s="35" t="n">
        <v>525</v>
      </c>
      <c r="F38" s="36" t="n">
        <v>0.21</v>
      </c>
      <c r="G38" s="36" t="n">
        <v>0.28</v>
      </c>
      <c r="H38" s="37" t="n">
        <v>-7</v>
      </c>
      <c r="I38" s="33">
        <f>VLOOKUP(17,'Rate Table'!$B$3:$C$26,2,TRUE)</f>
        <v/>
      </c>
      <c r="J38" s="34">
        <f>C38*D38*I38</f>
        <v/>
      </c>
    </row>
  </sheetData>
  <mergeCells count="1">
    <mergeCell ref="A1:J1"/>
  </mergeCells>
  <conditionalFormatting sqref="H3:H38">
    <cfRule type="cellIs" priority="1" operator="greaterThan" dxfId="0">
      <formula>0</formula>
    </cfRule>
    <cfRule type="cellIs" priority="2" operator="lessThan" dxfId="1">
      <formula>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6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22" customWidth="1" min="3" max="3"/>
    <col width="14" customWidth="1" min="4" max="4"/>
  </cols>
  <sheetData>
    <row r="1" ht="28" customHeight="1">
      <c r="A1" s="20" t="inlineStr">
        <is>
          <t>Hourly Charging Load Profile — "Duck Curve" (Annual Average)</t>
        </is>
      </c>
    </row>
    <row r="2">
      <c r="A2" s="21" t="inlineStr">
        <is>
          <t>Hour of Day</t>
        </is>
      </c>
      <c r="B2" s="21" t="inlineStr">
        <is>
          <t>Label</t>
        </is>
      </c>
      <c r="C2" s="21" t="inlineStr">
        <is>
          <t>Avg Grid Load (kW)</t>
        </is>
      </c>
      <c r="D2" s="21" t="inlineStr">
        <is>
          <t>Rate Band</t>
        </is>
      </c>
    </row>
    <row r="3">
      <c r="A3" s="22" t="n">
        <v>0</v>
      </c>
      <c r="B3" s="22" t="inlineStr">
        <is>
          <t>00:00</t>
        </is>
      </c>
      <c r="C3" s="22" t="n">
        <v>42</v>
      </c>
      <c r="D3" s="22" t="inlineStr">
        <is>
          <t>Off-Peak</t>
        </is>
      </c>
    </row>
    <row r="4">
      <c r="A4" s="22" t="n">
        <v>1</v>
      </c>
      <c r="B4" s="22" t="inlineStr">
        <is>
          <t>01:00</t>
        </is>
      </c>
      <c r="C4" s="22" t="n">
        <v>38</v>
      </c>
      <c r="D4" s="22" t="inlineStr">
        <is>
          <t>Off-Peak</t>
        </is>
      </c>
    </row>
    <row r="5">
      <c r="A5" s="22" t="n">
        <v>2</v>
      </c>
      <c r="B5" s="22" t="inlineStr">
        <is>
          <t>02:00</t>
        </is>
      </c>
      <c r="C5" s="22" t="n">
        <v>34</v>
      </c>
      <c r="D5" s="22" t="inlineStr">
        <is>
          <t>Off-Peak</t>
        </is>
      </c>
    </row>
    <row r="6">
      <c r="A6" s="22" t="n">
        <v>3</v>
      </c>
      <c r="B6" s="22" t="inlineStr">
        <is>
          <t>03:00</t>
        </is>
      </c>
      <c r="C6" s="22" t="n">
        <v>31</v>
      </c>
      <c r="D6" s="22" t="inlineStr">
        <is>
          <t>Off-Peak</t>
        </is>
      </c>
    </row>
    <row r="7">
      <c r="A7" s="22" t="n">
        <v>4</v>
      </c>
      <c r="B7" s="22" t="inlineStr">
        <is>
          <t>04:00</t>
        </is>
      </c>
      <c r="C7" s="22" t="n">
        <v>30</v>
      </c>
      <c r="D7" s="22" t="inlineStr">
        <is>
          <t>Off-Peak</t>
        </is>
      </c>
    </row>
    <row r="8">
      <c r="A8" s="22" t="n">
        <v>5</v>
      </c>
      <c r="B8" s="22" t="inlineStr">
        <is>
          <t>05:00</t>
        </is>
      </c>
      <c r="C8" s="22" t="n">
        <v>33</v>
      </c>
      <c r="D8" s="22" t="inlineStr">
        <is>
          <t>Off-Peak</t>
        </is>
      </c>
    </row>
    <row r="9">
      <c r="A9" s="22" t="n">
        <v>6</v>
      </c>
      <c r="B9" s="22" t="inlineStr">
        <is>
          <t>06:00</t>
        </is>
      </c>
      <c r="C9" s="22" t="n">
        <v>48</v>
      </c>
      <c r="D9" s="22" t="inlineStr">
        <is>
          <t>Off-Peak</t>
        </is>
      </c>
    </row>
    <row r="10">
      <c r="A10" s="24" t="n">
        <v>7</v>
      </c>
      <c r="B10" s="24" t="inlineStr">
        <is>
          <t>07:00</t>
        </is>
      </c>
      <c r="C10" s="24" t="n">
        <v>72</v>
      </c>
      <c r="D10" s="24" t="inlineStr">
        <is>
          <t>Mid-Peak</t>
        </is>
      </c>
    </row>
    <row r="11">
      <c r="A11" s="24" t="n">
        <v>8</v>
      </c>
      <c r="B11" s="24" t="inlineStr">
        <is>
          <t>08:00</t>
        </is>
      </c>
      <c r="C11" s="24" t="n">
        <v>91</v>
      </c>
      <c r="D11" s="24" t="inlineStr">
        <is>
          <t>Mid-Peak</t>
        </is>
      </c>
    </row>
    <row r="12">
      <c r="A12" s="24" t="n">
        <v>9</v>
      </c>
      <c r="B12" s="24" t="inlineStr">
        <is>
          <t>09:00</t>
        </is>
      </c>
      <c r="C12" s="24" t="n">
        <v>98</v>
      </c>
      <c r="D12" s="24" t="inlineStr">
        <is>
          <t>Mid-Peak</t>
        </is>
      </c>
    </row>
    <row r="13">
      <c r="A13" s="24" t="n">
        <v>10</v>
      </c>
      <c r="B13" s="24" t="inlineStr">
        <is>
          <t>10:00</t>
        </is>
      </c>
      <c r="C13" s="24" t="n">
        <v>94</v>
      </c>
      <c r="D13" s="24" t="inlineStr">
        <is>
          <t>Mid-Peak</t>
        </is>
      </c>
    </row>
    <row r="14">
      <c r="A14" s="24" t="n">
        <v>11</v>
      </c>
      <c r="B14" s="24" t="inlineStr">
        <is>
          <t>11:00</t>
        </is>
      </c>
      <c r="C14" s="24" t="n">
        <v>88</v>
      </c>
      <c r="D14" s="24" t="inlineStr">
        <is>
          <t>Mid-Peak</t>
        </is>
      </c>
    </row>
    <row r="15">
      <c r="A15" s="24" t="n">
        <v>12</v>
      </c>
      <c r="B15" s="24" t="inlineStr">
        <is>
          <t>12:00</t>
        </is>
      </c>
      <c r="C15" s="24" t="n">
        <v>82</v>
      </c>
      <c r="D15" s="24" t="inlineStr">
        <is>
          <t>Mid-Peak</t>
        </is>
      </c>
    </row>
    <row r="16">
      <c r="A16" s="24" t="n">
        <v>13</v>
      </c>
      <c r="B16" s="24" t="inlineStr">
        <is>
          <t>13:00</t>
        </is>
      </c>
      <c r="C16" s="24" t="n">
        <v>76</v>
      </c>
      <c r="D16" s="24" t="inlineStr">
        <is>
          <t>Mid-Peak</t>
        </is>
      </c>
    </row>
    <row r="17">
      <c r="A17" s="26" t="n">
        <v>14</v>
      </c>
      <c r="B17" s="26" t="inlineStr">
        <is>
          <t>14:00</t>
        </is>
      </c>
      <c r="C17" s="26" t="n">
        <v>71</v>
      </c>
      <c r="D17" s="26" t="inlineStr">
        <is>
          <t>On-Peak</t>
        </is>
      </c>
    </row>
    <row r="18">
      <c r="A18" s="26" t="n">
        <v>15</v>
      </c>
      <c r="B18" s="26" t="inlineStr">
        <is>
          <t>15:00</t>
        </is>
      </c>
      <c r="C18" s="26" t="n">
        <v>78</v>
      </c>
      <c r="D18" s="26" t="inlineStr">
        <is>
          <t>On-Peak</t>
        </is>
      </c>
    </row>
    <row r="19">
      <c r="A19" s="26" t="n">
        <v>16</v>
      </c>
      <c r="B19" s="26" t="inlineStr">
        <is>
          <t>16:00</t>
        </is>
      </c>
      <c r="C19" s="26" t="n">
        <v>98</v>
      </c>
      <c r="D19" s="26" t="inlineStr">
        <is>
          <t>On-Peak</t>
        </is>
      </c>
    </row>
    <row r="20">
      <c r="A20" s="26" t="n">
        <v>17</v>
      </c>
      <c r="B20" s="26" t="inlineStr">
        <is>
          <t>17:00</t>
        </is>
      </c>
      <c r="C20" s="26" t="n">
        <v>134</v>
      </c>
      <c r="D20" s="26" t="inlineStr">
        <is>
          <t>On-Peak</t>
        </is>
      </c>
    </row>
    <row r="21">
      <c r="A21" s="26" t="n">
        <v>18</v>
      </c>
      <c r="B21" s="26" t="inlineStr">
        <is>
          <t>18:00</t>
        </is>
      </c>
      <c r="C21" s="26" t="n">
        <v>158</v>
      </c>
      <c r="D21" s="26" t="inlineStr">
        <is>
          <t>On-Peak</t>
        </is>
      </c>
    </row>
    <row r="22">
      <c r="A22" s="26" t="n">
        <v>19</v>
      </c>
      <c r="B22" s="26" t="inlineStr">
        <is>
          <t>19:00</t>
        </is>
      </c>
      <c r="C22" s="26" t="n">
        <v>167</v>
      </c>
      <c r="D22" s="26" t="inlineStr">
        <is>
          <t>On-Peak</t>
        </is>
      </c>
    </row>
    <row r="23">
      <c r="A23" s="26" t="n">
        <v>20</v>
      </c>
      <c r="B23" s="26" t="inlineStr">
        <is>
          <t>20:00</t>
        </is>
      </c>
      <c r="C23" s="26" t="n">
        <v>152</v>
      </c>
      <c r="D23" s="26" t="inlineStr">
        <is>
          <t>On-Peak</t>
        </is>
      </c>
    </row>
    <row r="24">
      <c r="A24" s="26" t="n">
        <v>21</v>
      </c>
      <c r="B24" s="26" t="inlineStr">
        <is>
          <t>21:00</t>
        </is>
      </c>
      <c r="C24" s="26" t="n">
        <v>131</v>
      </c>
      <c r="D24" s="26" t="inlineStr">
        <is>
          <t>On-Peak</t>
        </is>
      </c>
    </row>
    <row r="25">
      <c r="A25" s="24" t="n">
        <v>22</v>
      </c>
      <c r="B25" s="24" t="inlineStr">
        <is>
          <t>22:00</t>
        </is>
      </c>
      <c r="C25" s="24" t="n">
        <v>108</v>
      </c>
      <c r="D25" s="24" t="inlineStr">
        <is>
          <t>Mid-Peak</t>
        </is>
      </c>
    </row>
    <row r="26">
      <c r="A26" s="22" t="n">
        <v>23</v>
      </c>
      <c r="B26" s="22" t="inlineStr">
        <is>
          <t>23:00</t>
        </is>
      </c>
      <c r="C26" s="22" t="n">
        <v>82</v>
      </c>
      <c r="D26" s="22" t="inlineStr">
        <is>
          <t>Off-Peak</t>
        </is>
      </c>
    </row>
  </sheetData>
  <mergeCells count="1">
    <mergeCell ref="A1:D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4" customWidth="1" min="3" max="3"/>
    <col width="18" customWidth="1" min="4" max="4"/>
    <col width="14" customWidth="1" min="5" max="5"/>
    <col width="18" customWidth="1" min="6" max="6"/>
    <col width="22" customWidth="1" min="7" max="7"/>
  </cols>
  <sheetData>
    <row r="1" ht="28" customHeight="1">
      <c r="A1" s="20" t="inlineStr">
        <is>
          <t>Annual Performance Summary by Station Type</t>
        </is>
      </c>
    </row>
    <row r="2">
      <c r="A2" s="21" t="inlineStr">
        <is>
          <t>Station Type</t>
        </is>
      </c>
      <c r="B2" s="21" t="inlineStr">
        <is>
          <t>Total Sessions</t>
        </is>
      </c>
      <c r="C2" s="21" t="inlineStr">
        <is>
          <t>Total kWh</t>
        </is>
      </c>
      <c r="D2" s="21" t="inlineStr">
        <is>
          <t>Avg Utilisation</t>
        </is>
      </c>
      <c r="E2" s="21" t="inlineStr">
        <is>
          <t>Target Util.</t>
        </is>
      </c>
      <c r="F2" s="21" t="inlineStr">
        <is>
          <t>vs Target (pp)</t>
        </is>
      </c>
      <c r="G2" s="21" t="inlineStr">
        <is>
          <t>Est. Annual Revenue ($)</t>
        </is>
      </c>
    </row>
    <row r="3">
      <c r="A3" s="38" t="inlineStr">
        <is>
          <t>Level 2 (L2)</t>
        </is>
      </c>
      <c r="B3" s="22" t="n">
        <v>4503</v>
      </c>
      <c r="C3" s="22" t="n">
        <v>89786</v>
      </c>
      <c r="D3" s="22" t="inlineStr">
        <is>
          <t>44.0%</t>
        </is>
      </c>
      <c r="E3" s="22" t="inlineStr">
        <is>
          <t>42%</t>
        </is>
      </c>
      <c r="F3" s="22" t="n">
        <v>2</v>
      </c>
      <c r="G3" s="39" t="n">
        <v>19573</v>
      </c>
    </row>
    <row r="4">
      <c r="A4" s="40" t="inlineStr">
        <is>
          <t>DC Fast Charger (DCFC)</t>
        </is>
      </c>
      <c r="B4" s="28" t="n">
        <v>2117</v>
      </c>
      <c r="C4" s="28" t="n">
        <v>88396</v>
      </c>
      <c r="D4" s="28" t="inlineStr">
        <is>
          <t>66.0%</t>
        </is>
      </c>
      <c r="E4" s="28" t="inlineStr">
        <is>
          <t>65%</t>
        </is>
      </c>
      <c r="F4" s="28" t="n">
        <v>1</v>
      </c>
      <c r="G4" s="41" t="n">
        <v>19270</v>
      </c>
    </row>
    <row r="5">
      <c r="A5" s="42" t="inlineStr">
        <is>
          <t>Level 1 (L1)</t>
        </is>
      </c>
      <c r="B5" s="24" t="n">
        <v>1201</v>
      </c>
      <c r="C5" s="24" t="n">
        <v>10290</v>
      </c>
      <c r="D5" s="24" t="inlineStr">
        <is>
          <t>26.7%</t>
        </is>
      </c>
      <c r="E5" s="24" t="inlineStr">
        <is>
          <t>28%</t>
        </is>
      </c>
      <c r="F5" s="24" t="n">
        <v>-1.3</v>
      </c>
      <c r="G5" s="43" t="n">
        <v>2243</v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2026-04-06T23:22:09Z</dcterms:created>
  <dcterms:modified xmlns:dcterms="http://purl.org/dc/terms/" xmlns:xsi="http://www.w3.org/2001/XMLSchema-instance" xsi:type="dcterms:W3CDTF">2026-04-06T23:22:09Z</dcterms:modified>
</cp:coreProperties>
</file>