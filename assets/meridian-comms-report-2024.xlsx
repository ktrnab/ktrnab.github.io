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Benchmarks" sheetId="3" state="visible" r:id="rId3"/>
    <sheet xmlns:r="http://schemas.openxmlformats.org/officeDocument/2006/relationships" name="Channel Summary" sheetId="4" state="visible" r:id="rId4"/>
    <sheet xmlns:r="http://schemas.openxmlformats.org/officeDocument/2006/relationships" name="Monthly 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12">
    <font>
      <name val="Calibri"/>
      <family val="2"/>
      <color theme="1"/>
      <sz val="11"/>
      <scheme val="minor"/>
    </font>
    <font>
      <name val="Calibri"/>
      <b val="1"/>
      <color rgb="002A5C27"/>
      <sz val="13"/>
    </font>
    <font>
      <name val="Calibri"/>
      <b val="1"/>
      <color rgb="00FFFFFF"/>
      <sz val="10"/>
    </font>
    <font>
      <name val="Calibri"/>
      <b val="1"/>
      <color rgb="002A5C27"/>
      <sz val="12"/>
    </font>
    <font>
      <name val="Calibri"/>
      <color rgb="001E2A1C"/>
      <sz val="10"/>
    </font>
    <font>
      <name val="Calibri"/>
      <b val="1"/>
      <color rgb="002A5C27"/>
      <sz val="10"/>
    </font>
    <font>
      <name val="Calibri"/>
      <b val="1"/>
      <color rgb="002A5C27"/>
      <sz val="18"/>
    </font>
    <font>
      <name val="Calibri"/>
      <color rgb="006A8C65"/>
      <sz val="11"/>
    </font>
    <font>
      <name val="Calibri"/>
      <b val="1"/>
      <color rgb="006A8C65"/>
      <sz val="8"/>
    </font>
    <font>
      <name val="Calibri"/>
      <b val="1"/>
      <color rgb="002A5C27"/>
      <sz val="20"/>
    </font>
    <font>
      <name val="Calibri"/>
      <color rgb="006A8C65"/>
      <sz val="8"/>
    </font>
    <font>
      <name val="Calibri"/>
      <i val="1"/>
      <color rgb="006A8C65"/>
      <sz val="8"/>
    </font>
  </fonts>
  <fills count="6">
    <fill>
      <patternFill/>
    </fill>
    <fill>
      <patternFill patternType="gray125"/>
    </fill>
    <fill>
      <patternFill patternType="solid">
        <fgColor rgb="00EDF0E5"/>
      </patternFill>
    </fill>
    <fill>
      <patternFill patternType="solid">
        <fgColor rgb="002A5C27"/>
      </patternFill>
    </fill>
    <fill>
      <patternFill patternType="solid">
        <fgColor rgb="00FFFFFF"/>
      </patternFill>
    </fill>
    <fill>
      <patternFill patternType="solid">
        <fgColor rgb="00F5F7F0"/>
      </patternFill>
    </fill>
  </fills>
  <borders count="3">
    <border>
      <left/>
      <right/>
      <top/>
      <bottom/>
      <diagonal/>
    </border>
    <border>
      <left style="thin">
        <color rgb="00D4DACE"/>
      </left>
      <right style="thin">
        <color rgb="00D4DACE"/>
      </right>
      <top style="thin">
        <color rgb="00D4DACE"/>
      </top>
      <bottom style="thin">
        <color rgb="00D4DACE"/>
      </bottom>
    </border>
    <border>
      <top style="medium">
        <color rgb="002A5C27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8" fillId="5" borderId="2" applyAlignment="1" pivotButton="0" quotePrefix="0" xfId="0">
      <alignment horizontal="left" vertical="bottom"/>
    </xf>
    <xf numFmtId="0" fontId="0" fillId="5" borderId="2" pivotButton="0" quotePrefix="0" xfId="0"/>
    <xf numFmtId="0" fontId="9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0" fillId="5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2E7D32"/>
      </font>
      <fill>
        <patternFill patternType="solid">
          <fgColor rgb="00E8F5E9"/>
        </patternFill>
      </fill>
    </dxf>
    <dxf>
      <font>
        <color rgb="00B71C1C"/>
      </font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Engagement Rate vs Benchmark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 Summary'!E2</f>
            </strRef>
          </tx>
          <spPr>
            <a:solidFill xmlns:a="http://schemas.openxmlformats.org/drawingml/2006/main">
              <a:srgbClr val="3D7A39"/>
            </a:solidFill>
            <a:ln xmlns:a="http://schemas.openxmlformats.org/drawingml/2006/main">
              <a:prstDash val="solid"/>
            </a:ln>
          </spPr>
          <cat>
            <numRef>
              <f>'Channel Summary'!$A$3:$A$5</f>
            </numRef>
          </cat>
          <val>
            <numRef>
              <f>'Channel Summary'!$E$3:$E$5</f>
            </numRef>
          </val>
        </ser>
        <ser>
          <idx val="1"/>
          <order val="1"/>
          <tx>
            <strRef>
              <f>'Channel Summary'!G2</f>
            </strRef>
          </tx>
          <spPr>
            <a:solidFill xmlns:a="http://schemas.openxmlformats.org/drawingml/2006/main">
              <a:srgbClr val="CAE896"/>
            </a:solidFill>
            <a:ln xmlns:a="http://schemas.openxmlformats.org/drawingml/2006/main">
              <a:prstDash val="solid"/>
            </a:ln>
          </spPr>
          <cat>
            <numRef>
              <f>'Channel Summary'!$A$3:$A$5</f>
            </numRef>
          </cat>
          <val>
            <numRef>
              <f>'Channel Summary'!$G$3:$G$5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Email Newsletter: Monthly Engagement Rate vs Benchmark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 w="22000">
              <a:solidFill>
                <a:srgbClr val="3D7A3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Trend'!$A$3:$A$14</f>
            </numRef>
          </cat>
          <val>
            <numRef>
              <f>'Monthly Trend'!$E$3:$E$14</f>
            </numRef>
          </val>
        </ser>
        <ser>
          <idx val="1"/>
          <order val="1"/>
          <tx>
            <strRef>
              <f>'Monthly Trend'!F2</f>
            </strRef>
          </tx>
          <spPr>
            <a:ln xmlns:a="http://schemas.openxmlformats.org/drawingml/2006/main" w="16000">
              <a:solidFill>
                <a:srgbClr val="CAE8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Trend'!$A$3:$A$14</f>
            </numRef>
          </cat>
          <val>
            <numRef>
              <f>'Monthly Trend'!$F$3:$F$14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.7"/>
          <min val="0.3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CAE896"/>
    <outlinePr summaryBelow="1" summaryRight="1"/>
    <pageSetUpPr/>
  </sheetPr>
  <dimension ref="B2:M28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</cols>
  <sheetData>
    <row r="1" ht="10" customHeight="1"/>
    <row r="2" ht="36" customHeight="1">
      <c r="B2" s="1" t="inlineStr">
        <is>
          <t>Meridian Insurance Group</t>
        </is>
      </c>
    </row>
    <row r="3" ht="20" customHeight="1">
      <c r="B3" s="2" t="inlineStr">
        <is>
          <t>Internal Communications — Full Year Performance Report  |  Jan – Dec 2024</t>
        </is>
      </c>
    </row>
    <row r="4" ht="3" customHeight="1">
      <c r="B4" s="3" t="n"/>
    </row>
    <row r="5" ht="12" customHeight="1"/>
    <row r="6" ht="16" customHeight="1">
      <c r="B6" s="4" t="inlineStr">
        <is>
          <t>Total Reach</t>
        </is>
      </c>
      <c r="C6" s="5" t="n"/>
      <c r="D6" s="5" t="n"/>
      <c r="E6" s="4" t="inlineStr">
        <is>
          <t>Total Engagements</t>
        </is>
      </c>
      <c r="F6" s="5" t="n"/>
      <c r="G6" s="5" t="n"/>
      <c r="H6" s="4" t="inlineStr">
        <is>
          <t>Email Open Rate</t>
        </is>
      </c>
      <c r="I6" s="5" t="n"/>
      <c r="J6" s="5" t="n"/>
      <c r="K6" s="4" t="inlineStr">
        <is>
          <t>Avg LinkedIn Eng.</t>
        </is>
      </c>
      <c r="L6" s="5" t="n"/>
      <c r="M6" s="5" t="n"/>
    </row>
    <row r="7" ht="30" customHeight="1">
      <c r="B7" s="6" t="inlineStr">
        <is>
          <t>78,764</t>
        </is>
      </c>
      <c r="C7" s="7" t="n"/>
      <c r="D7" s="7" t="n"/>
      <c r="E7" s="6" t="inlineStr">
        <is>
          <t>11,460</t>
        </is>
      </c>
      <c r="F7" s="7" t="n"/>
      <c r="G7" s="7" t="n"/>
      <c r="H7" s="6" t="inlineStr">
        <is>
          <t>51.2%</t>
        </is>
      </c>
      <c r="I7" s="7" t="n"/>
      <c r="J7" s="7" t="n"/>
      <c r="K7" s="6" t="inlineStr">
        <is>
          <t>3.8%</t>
        </is>
      </c>
      <c r="L7" s="7" t="n"/>
      <c r="M7" s="7" t="n"/>
    </row>
    <row r="8" ht="14" customHeight="1">
      <c r="B8" s="8" t="inlineStr">
        <is>
          <t>All channels combined</t>
        </is>
      </c>
      <c r="C8" s="7" t="n"/>
      <c r="D8" s="7" t="n"/>
      <c r="E8" s="8" t="inlineStr">
        <is>
          <t>Opens, visits, reactions</t>
        </is>
      </c>
      <c r="F8" s="7" t="n"/>
      <c r="G8" s="7" t="n"/>
      <c r="H8" s="8" t="inlineStr">
        <is>
          <t>Annual avg vs 47% benchmark</t>
        </is>
      </c>
      <c r="I8" s="7" t="n"/>
      <c r="J8" s="7" t="n"/>
      <c r="K8" s="8" t="inlineStr">
        <is>
          <t>Annual avg vs 3.5% benchmark</t>
        </is>
      </c>
      <c r="L8" s="7" t="n"/>
      <c r="M8" s="7" t="n"/>
    </row>
    <row r="9" ht="8" customHeight="1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16" customHeight="1"/>
    <row r="28">
      <c r="B28" s="9" t="inlineStr">
        <is>
          <t>Data covers Jan–Dec 2024 across three internal comms channels. Benchmarks sourced from industry standards for financial services internal communications.</t>
        </is>
      </c>
    </row>
  </sheetData>
  <mergeCells count="20">
    <mergeCell ref="B8:D8"/>
    <mergeCell ref="E9:G9"/>
    <mergeCell ref="E6:G6"/>
    <mergeCell ref="H7:J7"/>
    <mergeCell ref="K8:M8"/>
    <mergeCell ref="B28:M28"/>
    <mergeCell ref="B4:K4"/>
    <mergeCell ref="B9:D9"/>
    <mergeCell ref="E7:G7"/>
    <mergeCell ref="B6:D6"/>
    <mergeCell ref="K7:M7"/>
    <mergeCell ref="B3:K3"/>
    <mergeCell ref="K6:M6"/>
    <mergeCell ref="H8:J8"/>
    <mergeCell ref="B2:K2"/>
    <mergeCell ref="B7:D7"/>
    <mergeCell ref="K9:M9"/>
    <mergeCell ref="E8:G8"/>
    <mergeCell ref="H9:J9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5C27"/>
    <outlinePr summaryBelow="1" summaryRight="1"/>
    <pageSetUpPr/>
  </sheetPr>
  <dimension ref="A1:J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10" customWidth="1" min="4" max="4"/>
    <col width="14" customWidth="1" min="5" max="5"/>
    <col width="8" customWidth="1" min="6" max="6"/>
    <col width="12" customWidth="1" min="7" max="7"/>
    <col width="10" customWidth="1" min="8" max="8"/>
    <col width="22" customWidth="1" min="9" max="9"/>
    <col width="14" customWidth="1" min="10" max="10"/>
  </cols>
  <sheetData>
    <row r="1" ht="28" customHeight="1">
      <c r="A1" s="10" t="inlineStr">
        <is>
          <t>Meridian Insurance Group — Internal Communications Channel Report 2024</t>
        </is>
      </c>
    </row>
    <row r="2" ht="22" customHeight="1">
      <c r="A2" s="11" t="inlineStr">
        <is>
          <t>Channel</t>
        </is>
      </c>
      <c r="B2" s="11" t="inlineStr">
        <is>
          <t>Month</t>
        </is>
      </c>
      <c r="C2" s="11" t="inlineStr">
        <is>
          <t>Campaign / Content</t>
        </is>
      </c>
      <c r="D2" s="11" t="inlineStr">
        <is>
          <t>Reach</t>
        </is>
      </c>
      <c r="E2" s="11" t="inlineStr">
        <is>
          <t>Engagements</t>
        </is>
      </c>
      <c r="F2" s="11" t="inlineStr">
        <is>
          <t>Clicks</t>
        </is>
      </c>
      <c r="G2" s="11" t="inlineStr">
        <is>
          <t>Eng. Rate</t>
        </is>
      </c>
      <c r="H2" s="11" t="inlineStr">
        <is>
          <t>CTR</t>
        </is>
      </c>
      <c r="I2" s="11" t="inlineStr">
        <is>
          <t>Benchmark Eng. Rate</t>
        </is>
      </c>
      <c r="J2" s="11" t="inlineStr">
        <is>
          <t>vs Benchmark</t>
        </is>
      </c>
    </row>
    <row r="3" ht="18" customHeight="1">
      <c r="A3" s="12" t="inlineStr">
        <is>
          <t>Email Newsletter</t>
        </is>
      </c>
      <c r="B3" s="13" t="inlineStr">
        <is>
          <t>Jan 2024</t>
        </is>
      </c>
      <c r="C3" s="12" t="inlineStr">
        <is>
          <t>Monthly All-Staff Update</t>
        </is>
      </c>
      <c r="D3" s="13" t="n">
        <v>891</v>
      </c>
      <c r="E3" s="13" t="n">
        <v>423</v>
      </c>
      <c r="F3" s="13" t="n">
        <v>67</v>
      </c>
      <c r="G3" s="14">
        <f>E3/D3</f>
        <v/>
      </c>
      <c r="H3" s="14">
        <f>F3/D3</f>
        <v/>
      </c>
      <c r="I3" s="14">
        <f>VLOOKUP(A3,Benchmarks!$A$3:$D$5,2,FALSE)</f>
        <v/>
      </c>
      <c r="J3" s="15">
        <f>G3-I3</f>
        <v/>
      </c>
    </row>
    <row r="4" ht="18" customHeight="1">
      <c r="A4" s="16" t="inlineStr">
        <is>
          <t>Email Newsletter</t>
        </is>
      </c>
      <c r="B4" s="17" t="inlineStr">
        <is>
          <t>Feb 2024</t>
        </is>
      </c>
      <c r="C4" s="16" t="inlineStr">
        <is>
          <t>Monthly All-Staff Update</t>
        </is>
      </c>
      <c r="D4" s="17" t="n">
        <v>891</v>
      </c>
      <c r="E4" s="17" t="n">
        <v>445</v>
      </c>
      <c r="F4" s="17" t="n">
        <v>71</v>
      </c>
      <c r="G4" s="18">
        <f>E4/D4</f>
        <v/>
      </c>
      <c r="H4" s="18">
        <f>F4/D4</f>
        <v/>
      </c>
      <c r="I4" s="18">
        <f>VLOOKUP(A4,Benchmarks!$A$3:$D$5,2,FALSE)</f>
        <v/>
      </c>
      <c r="J4" s="19">
        <f>G4-I4</f>
        <v/>
      </c>
    </row>
    <row r="5" ht="18" customHeight="1">
      <c r="A5" s="12" t="inlineStr">
        <is>
          <t>Email Newsletter</t>
        </is>
      </c>
      <c r="B5" s="13" t="inlineStr">
        <is>
          <t>Mar 2024</t>
        </is>
      </c>
      <c r="C5" s="12" t="inlineStr">
        <is>
          <t>Q1 Town Hall Follow-Up</t>
        </is>
      </c>
      <c r="D5" s="13" t="n">
        <v>895</v>
      </c>
      <c r="E5" s="13" t="n">
        <v>501</v>
      </c>
      <c r="F5" s="13" t="n">
        <v>83</v>
      </c>
      <c r="G5" s="14">
        <f>E5/D5</f>
        <v/>
      </c>
      <c r="H5" s="14">
        <f>F5/D5</f>
        <v/>
      </c>
      <c r="I5" s="14">
        <f>VLOOKUP(A5,Benchmarks!$A$3:$D$5,2,FALSE)</f>
        <v/>
      </c>
      <c r="J5" s="15">
        <f>G5-I5</f>
        <v/>
      </c>
    </row>
    <row r="6" ht="18" customHeight="1">
      <c r="A6" s="16" t="inlineStr">
        <is>
          <t>Email Newsletter</t>
        </is>
      </c>
      <c r="B6" s="17" t="inlineStr">
        <is>
          <t>Apr 2024</t>
        </is>
      </c>
      <c r="C6" s="16" t="inlineStr">
        <is>
          <t>Monthly All-Staff Update</t>
        </is>
      </c>
      <c r="D6" s="17" t="n">
        <v>895</v>
      </c>
      <c r="E6" s="17" t="n">
        <v>478</v>
      </c>
      <c r="F6" s="17" t="n">
        <v>74</v>
      </c>
      <c r="G6" s="18">
        <f>E6/D6</f>
        <v/>
      </c>
      <c r="H6" s="18">
        <f>F6/D6</f>
        <v/>
      </c>
      <c r="I6" s="18">
        <f>VLOOKUP(A6,Benchmarks!$A$3:$D$5,2,FALSE)</f>
        <v/>
      </c>
      <c r="J6" s="19">
        <f>G6-I6</f>
        <v/>
      </c>
    </row>
    <row r="7" ht="18" customHeight="1">
      <c r="A7" s="12" t="inlineStr">
        <is>
          <t>Email Newsletter</t>
        </is>
      </c>
      <c r="B7" s="13" t="inlineStr">
        <is>
          <t>May 2024</t>
        </is>
      </c>
      <c r="C7" s="12" t="inlineStr">
        <is>
          <t>Monthly All-Staff Update</t>
        </is>
      </c>
      <c r="D7" s="13" t="n">
        <v>898</v>
      </c>
      <c r="E7" s="13" t="n">
        <v>432</v>
      </c>
      <c r="F7" s="13" t="n">
        <v>68</v>
      </c>
      <c r="G7" s="14">
        <f>E7/D7</f>
        <v/>
      </c>
      <c r="H7" s="14">
        <f>F7/D7</f>
        <v/>
      </c>
      <c r="I7" s="14">
        <f>VLOOKUP(A7,Benchmarks!$A$3:$D$5,2,FALSE)</f>
        <v/>
      </c>
      <c r="J7" s="15">
        <f>G7-I7</f>
        <v/>
      </c>
    </row>
    <row r="8" ht="18" customHeight="1">
      <c r="A8" s="16" t="inlineStr">
        <is>
          <t>Email Newsletter</t>
        </is>
      </c>
      <c r="B8" s="17" t="inlineStr">
        <is>
          <t>Jun 2024</t>
        </is>
      </c>
      <c r="C8" s="16" t="inlineStr">
        <is>
          <t>Mid-Year Review Digest</t>
        </is>
      </c>
      <c r="D8" s="17" t="n">
        <v>898</v>
      </c>
      <c r="E8" s="17" t="n">
        <v>395</v>
      </c>
      <c r="F8" s="17" t="n">
        <v>58</v>
      </c>
      <c r="G8" s="18">
        <f>E8/D8</f>
        <v/>
      </c>
      <c r="H8" s="18">
        <f>F8/D8</f>
        <v/>
      </c>
      <c r="I8" s="18">
        <f>VLOOKUP(A8,Benchmarks!$A$3:$D$5,2,FALSE)</f>
        <v/>
      </c>
      <c r="J8" s="19">
        <f>G8-I8</f>
        <v/>
      </c>
    </row>
    <row r="9" ht="18" customHeight="1">
      <c r="A9" s="12" t="inlineStr">
        <is>
          <t>Email Newsletter</t>
        </is>
      </c>
      <c r="B9" s="13" t="inlineStr">
        <is>
          <t>Jul 2024</t>
        </is>
      </c>
      <c r="C9" s="12" t="inlineStr">
        <is>
          <t>Monthly All-Staff Update</t>
        </is>
      </c>
      <c r="D9" s="13" t="n">
        <v>900</v>
      </c>
      <c r="E9" s="13" t="n">
        <v>382</v>
      </c>
      <c r="F9" s="13" t="n">
        <v>52</v>
      </c>
      <c r="G9" s="14">
        <f>E9/D9</f>
        <v/>
      </c>
      <c r="H9" s="14">
        <f>F9/D9</f>
        <v/>
      </c>
      <c r="I9" s="14">
        <f>VLOOKUP(A9,Benchmarks!$A$3:$D$5,2,FALSE)</f>
        <v/>
      </c>
      <c r="J9" s="15">
        <f>G9-I9</f>
        <v/>
      </c>
    </row>
    <row r="10" ht="18" customHeight="1">
      <c r="A10" s="16" t="inlineStr">
        <is>
          <t>Email Newsletter</t>
        </is>
      </c>
      <c r="B10" s="17" t="inlineStr">
        <is>
          <t>Aug 2024</t>
        </is>
      </c>
      <c r="C10" s="16" t="inlineStr">
        <is>
          <t>Monthly All-Staff Update</t>
        </is>
      </c>
      <c r="D10" s="17" t="n">
        <v>900</v>
      </c>
      <c r="E10" s="17" t="n">
        <v>398</v>
      </c>
      <c r="F10" s="17" t="n">
        <v>61</v>
      </c>
      <c r="G10" s="18">
        <f>E10/D10</f>
        <v/>
      </c>
      <c r="H10" s="18">
        <f>F10/D10</f>
        <v/>
      </c>
      <c r="I10" s="18">
        <f>VLOOKUP(A10,Benchmarks!$A$3:$D$5,2,FALSE)</f>
        <v/>
      </c>
      <c r="J10" s="19">
        <f>G10-I10</f>
        <v/>
      </c>
    </row>
    <row r="11" ht="18" customHeight="1">
      <c r="A11" s="12" t="inlineStr">
        <is>
          <t>Email Newsletter</t>
        </is>
      </c>
      <c r="B11" s="13" t="inlineStr">
        <is>
          <t>Sep 2024</t>
        </is>
      </c>
      <c r="C11" s="12" t="inlineStr">
        <is>
          <t>Q3 Town Hall Follow-Up</t>
        </is>
      </c>
      <c r="D11" s="13" t="n">
        <v>902</v>
      </c>
      <c r="E11" s="13" t="n">
        <v>487</v>
      </c>
      <c r="F11" s="13" t="n">
        <v>79</v>
      </c>
      <c r="G11" s="14">
        <f>E11/D11</f>
        <v/>
      </c>
      <c r="H11" s="14">
        <f>F11/D11</f>
        <v/>
      </c>
      <c r="I11" s="14">
        <f>VLOOKUP(A11,Benchmarks!$A$3:$D$5,2,FALSE)</f>
        <v/>
      </c>
      <c r="J11" s="15">
        <f>G11-I11</f>
        <v/>
      </c>
    </row>
    <row r="12" ht="18" customHeight="1">
      <c r="A12" s="16" t="inlineStr">
        <is>
          <t>Email Newsletter</t>
        </is>
      </c>
      <c r="B12" s="17" t="inlineStr">
        <is>
          <t>Oct 2024</t>
        </is>
      </c>
      <c r="C12" s="16" t="inlineStr">
        <is>
          <t>Monthly All-Staff Update</t>
        </is>
      </c>
      <c r="D12" s="17" t="n">
        <v>902</v>
      </c>
      <c r="E12" s="17" t="n">
        <v>512</v>
      </c>
      <c r="F12" s="17" t="n">
        <v>88</v>
      </c>
      <c r="G12" s="18">
        <f>E12/D12</f>
        <v/>
      </c>
      <c r="H12" s="18">
        <f>F12/D12</f>
        <v/>
      </c>
      <c r="I12" s="18">
        <f>VLOOKUP(A12,Benchmarks!$A$3:$D$5,2,FALSE)</f>
        <v/>
      </c>
      <c r="J12" s="19">
        <f>G12-I12</f>
        <v/>
      </c>
    </row>
    <row r="13" ht="18" customHeight="1">
      <c r="A13" s="12" t="inlineStr">
        <is>
          <t>Email Newsletter</t>
        </is>
      </c>
      <c r="B13" s="13" t="inlineStr">
        <is>
          <t>Nov 2024</t>
        </is>
      </c>
      <c r="C13" s="12" t="inlineStr">
        <is>
          <t>Year-End Planning Update</t>
        </is>
      </c>
      <c r="D13" s="13" t="n">
        <v>905</v>
      </c>
      <c r="E13" s="13" t="n">
        <v>534</v>
      </c>
      <c r="F13" s="13" t="n">
        <v>95</v>
      </c>
      <c r="G13" s="14">
        <f>E13/D13</f>
        <v/>
      </c>
      <c r="H13" s="14">
        <f>F13/D13</f>
        <v/>
      </c>
      <c r="I13" s="14">
        <f>VLOOKUP(A13,Benchmarks!$A$3:$D$5,2,FALSE)</f>
        <v/>
      </c>
      <c r="J13" s="15">
        <f>G13-I13</f>
        <v/>
      </c>
    </row>
    <row r="14" ht="18" customHeight="1">
      <c r="A14" s="16" t="inlineStr">
        <is>
          <t>Email Newsletter</t>
        </is>
      </c>
      <c r="B14" s="17" t="inlineStr">
        <is>
          <t>Dec 2024</t>
        </is>
      </c>
      <c r="C14" s="16" t="inlineStr">
        <is>
          <t>Annual Wrap-Up &amp; Highlights</t>
        </is>
      </c>
      <c r="D14" s="17" t="n">
        <v>905</v>
      </c>
      <c r="E14" s="17" t="n">
        <v>489</v>
      </c>
      <c r="F14" s="17" t="n">
        <v>76</v>
      </c>
      <c r="G14" s="18">
        <f>E14/D14</f>
        <v/>
      </c>
      <c r="H14" s="18">
        <f>F14/D14</f>
        <v/>
      </c>
      <c r="I14" s="18">
        <f>VLOOKUP(A14,Benchmarks!$A$3:$D$5,2,FALSE)</f>
        <v/>
      </c>
      <c r="J14" s="19">
        <f>G14-I14</f>
        <v/>
      </c>
    </row>
    <row r="15" ht="18" customHeight="1">
      <c r="A15" s="12" t="inlineStr">
        <is>
          <t>Intranet</t>
        </is>
      </c>
      <c r="B15" s="13" t="inlineStr">
        <is>
          <t>Jan 2024</t>
        </is>
      </c>
      <c r="C15" s="12" t="inlineStr">
        <is>
          <t>Monthly Highlights Hub</t>
        </is>
      </c>
      <c r="D15" s="13" t="n">
        <v>891</v>
      </c>
      <c r="E15" s="13" t="n">
        <v>312</v>
      </c>
      <c r="F15" s="13" t="n">
        <v>134</v>
      </c>
      <c r="G15" s="14">
        <f>E15/D15</f>
        <v/>
      </c>
      <c r="H15" s="14">
        <f>F15/D15</f>
        <v/>
      </c>
      <c r="I15" s="14">
        <f>VLOOKUP(A15,Benchmarks!$A$3:$D$5,2,FALSE)</f>
        <v/>
      </c>
      <c r="J15" s="15">
        <f>G15-I15</f>
        <v/>
      </c>
    </row>
    <row r="16" ht="18" customHeight="1">
      <c r="A16" s="16" t="inlineStr">
        <is>
          <t>Intranet</t>
        </is>
      </c>
      <c r="B16" s="17" t="inlineStr">
        <is>
          <t>Feb 2024</t>
        </is>
      </c>
      <c r="C16" s="16" t="inlineStr">
        <is>
          <t>Monthly Highlights Hub</t>
        </is>
      </c>
      <c r="D16" s="17" t="n">
        <v>891</v>
      </c>
      <c r="E16" s="17" t="n">
        <v>295</v>
      </c>
      <c r="F16" s="17" t="n">
        <v>118</v>
      </c>
      <c r="G16" s="18">
        <f>E16/D16</f>
        <v/>
      </c>
      <c r="H16" s="18">
        <f>F16/D16</f>
        <v/>
      </c>
      <c r="I16" s="18">
        <f>VLOOKUP(A16,Benchmarks!$A$3:$D$5,2,FALSE)</f>
        <v/>
      </c>
      <c r="J16" s="19">
        <f>G16-I16</f>
        <v/>
      </c>
    </row>
    <row r="17" ht="18" customHeight="1">
      <c r="A17" s="12" t="inlineStr">
        <is>
          <t>Intranet</t>
        </is>
      </c>
      <c r="B17" s="13" t="inlineStr">
        <is>
          <t>Mar 2024</t>
        </is>
      </c>
      <c r="C17" s="12" t="inlineStr">
        <is>
          <t>Q1 Strategy Resources</t>
        </is>
      </c>
      <c r="D17" s="13" t="n">
        <v>895</v>
      </c>
      <c r="E17" s="13" t="n">
        <v>341</v>
      </c>
      <c r="F17" s="13" t="n">
        <v>152</v>
      </c>
      <c r="G17" s="14">
        <f>E17/D17</f>
        <v/>
      </c>
      <c r="H17" s="14">
        <f>F17/D17</f>
        <v/>
      </c>
      <c r="I17" s="14">
        <f>VLOOKUP(A17,Benchmarks!$A$3:$D$5,2,FALSE)</f>
        <v/>
      </c>
      <c r="J17" s="15">
        <f>G17-I17</f>
        <v/>
      </c>
    </row>
    <row r="18" ht="18" customHeight="1">
      <c r="A18" s="16" t="inlineStr">
        <is>
          <t>Intranet</t>
        </is>
      </c>
      <c r="B18" s="17" t="inlineStr">
        <is>
          <t>Apr 2024</t>
        </is>
      </c>
      <c r="C18" s="16" t="inlineStr">
        <is>
          <t>Monthly Highlights Hub</t>
        </is>
      </c>
      <c r="D18" s="17" t="n">
        <v>895</v>
      </c>
      <c r="E18" s="17" t="n">
        <v>318</v>
      </c>
      <c r="F18" s="17" t="n">
        <v>141</v>
      </c>
      <c r="G18" s="18">
        <f>E18/D18</f>
        <v/>
      </c>
      <c r="H18" s="18">
        <f>F18/D18</f>
        <v/>
      </c>
      <c r="I18" s="18">
        <f>VLOOKUP(A18,Benchmarks!$A$3:$D$5,2,FALSE)</f>
        <v/>
      </c>
      <c r="J18" s="19">
        <f>G18-I18</f>
        <v/>
      </c>
    </row>
    <row r="19" ht="18" customHeight="1">
      <c r="A19" s="12" t="inlineStr">
        <is>
          <t>Intranet</t>
        </is>
      </c>
      <c r="B19" s="13" t="inlineStr">
        <is>
          <t>May 2024</t>
        </is>
      </c>
      <c r="C19" s="12" t="inlineStr">
        <is>
          <t>Monthly Highlights Hub</t>
        </is>
      </c>
      <c r="D19" s="13" t="n">
        <v>898</v>
      </c>
      <c r="E19" s="13" t="n">
        <v>307</v>
      </c>
      <c r="F19" s="13" t="n">
        <v>126</v>
      </c>
      <c r="G19" s="14">
        <f>E19/D19</f>
        <v/>
      </c>
      <c r="H19" s="14">
        <f>F19/D19</f>
        <v/>
      </c>
      <c r="I19" s="14">
        <f>VLOOKUP(A19,Benchmarks!$A$3:$D$5,2,FALSE)</f>
        <v/>
      </c>
      <c r="J19" s="15">
        <f>G19-I19</f>
        <v/>
      </c>
    </row>
    <row r="20" ht="18" customHeight="1">
      <c r="A20" s="16" t="inlineStr">
        <is>
          <t>Intranet</t>
        </is>
      </c>
      <c r="B20" s="17" t="inlineStr">
        <is>
          <t>Jun 2024</t>
        </is>
      </c>
      <c r="C20" s="16" t="inlineStr">
        <is>
          <t>Mid-Year Resource Update</t>
        </is>
      </c>
      <c r="D20" s="17" t="n">
        <v>898</v>
      </c>
      <c r="E20" s="17" t="n">
        <v>278</v>
      </c>
      <c r="F20" s="17" t="n">
        <v>108</v>
      </c>
      <c r="G20" s="18">
        <f>E20/D20</f>
        <v/>
      </c>
      <c r="H20" s="18">
        <f>F20/D20</f>
        <v/>
      </c>
      <c r="I20" s="18">
        <f>VLOOKUP(A20,Benchmarks!$A$3:$D$5,2,FALSE)</f>
        <v/>
      </c>
      <c r="J20" s="19">
        <f>G20-I20</f>
        <v/>
      </c>
    </row>
    <row r="21" ht="18" customHeight="1">
      <c r="A21" s="12" t="inlineStr">
        <is>
          <t>Intranet</t>
        </is>
      </c>
      <c r="B21" s="13" t="inlineStr">
        <is>
          <t>Jul 2024</t>
        </is>
      </c>
      <c r="C21" s="12" t="inlineStr">
        <is>
          <t>Monthly Highlights Hub</t>
        </is>
      </c>
      <c r="D21" s="13" t="n">
        <v>900</v>
      </c>
      <c r="E21" s="13" t="n">
        <v>261</v>
      </c>
      <c r="F21" s="13" t="n">
        <v>98</v>
      </c>
      <c r="G21" s="14">
        <f>E21/D21</f>
        <v/>
      </c>
      <c r="H21" s="14">
        <f>F21/D21</f>
        <v/>
      </c>
      <c r="I21" s="14">
        <f>VLOOKUP(A21,Benchmarks!$A$3:$D$5,2,FALSE)</f>
        <v/>
      </c>
      <c r="J21" s="15">
        <f>G21-I21</f>
        <v/>
      </c>
    </row>
    <row r="22" ht="18" customHeight="1">
      <c r="A22" s="16" t="inlineStr">
        <is>
          <t>Intranet</t>
        </is>
      </c>
      <c r="B22" s="17" t="inlineStr">
        <is>
          <t>Aug 2024</t>
        </is>
      </c>
      <c r="C22" s="16" t="inlineStr">
        <is>
          <t>Monthly Highlights Hub</t>
        </is>
      </c>
      <c r="D22" s="17" t="n">
        <v>900</v>
      </c>
      <c r="E22" s="17" t="n">
        <v>284</v>
      </c>
      <c r="F22" s="17" t="n">
        <v>112</v>
      </c>
      <c r="G22" s="18">
        <f>E22/D22</f>
        <v/>
      </c>
      <c r="H22" s="18">
        <f>F22/D22</f>
        <v/>
      </c>
      <c r="I22" s="18">
        <f>VLOOKUP(A22,Benchmarks!$A$3:$D$5,2,FALSE)</f>
        <v/>
      </c>
      <c r="J22" s="19">
        <f>G22-I22</f>
        <v/>
      </c>
    </row>
    <row r="23" ht="18" customHeight="1">
      <c r="A23" s="12" t="inlineStr">
        <is>
          <t>Intranet</t>
        </is>
      </c>
      <c r="B23" s="13" t="inlineStr">
        <is>
          <t>Sep 2024</t>
        </is>
      </c>
      <c r="C23" s="12" t="inlineStr">
        <is>
          <t>Q3 Strategy Resources</t>
        </is>
      </c>
      <c r="D23" s="13" t="n">
        <v>902</v>
      </c>
      <c r="E23" s="13" t="n">
        <v>335</v>
      </c>
      <c r="F23" s="13" t="n">
        <v>148</v>
      </c>
      <c r="G23" s="14">
        <f>E23/D23</f>
        <v/>
      </c>
      <c r="H23" s="14">
        <f>F23/D23</f>
        <v/>
      </c>
      <c r="I23" s="14">
        <f>VLOOKUP(A23,Benchmarks!$A$3:$D$5,2,FALSE)</f>
        <v/>
      </c>
      <c r="J23" s="15">
        <f>G23-I23</f>
        <v/>
      </c>
    </row>
    <row r="24" ht="18" customHeight="1">
      <c r="A24" s="16" t="inlineStr">
        <is>
          <t>Intranet</t>
        </is>
      </c>
      <c r="B24" s="17" t="inlineStr">
        <is>
          <t>Oct 2024</t>
        </is>
      </c>
      <c r="C24" s="16" t="inlineStr">
        <is>
          <t>Monthly Highlights Hub</t>
        </is>
      </c>
      <c r="D24" s="17" t="n">
        <v>902</v>
      </c>
      <c r="E24" s="17" t="n">
        <v>358</v>
      </c>
      <c r="F24" s="17" t="n">
        <v>163</v>
      </c>
      <c r="G24" s="18">
        <f>E24/D24</f>
        <v/>
      </c>
      <c r="H24" s="18">
        <f>F24/D24</f>
        <v/>
      </c>
      <c r="I24" s="18">
        <f>VLOOKUP(A24,Benchmarks!$A$3:$D$5,2,FALSE)</f>
        <v/>
      </c>
      <c r="J24" s="19">
        <f>G24-I24</f>
        <v/>
      </c>
    </row>
    <row r="25" ht="18" customHeight="1">
      <c r="A25" s="12" t="inlineStr">
        <is>
          <t>Intranet</t>
        </is>
      </c>
      <c r="B25" s="13" t="inlineStr">
        <is>
          <t>Nov 2024</t>
        </is>
      </c>
      <c r="C25" s="12" t="inlineStr">
        <is>
          <t>Benefits &amp; Year-End Resources</t>
        </is>
      </c>
      <c r="D25" s="13" t="n">
        <v>905</v>
      </c>
      <c r="E25" s="13" t="n">
        <v>372</v>
      </c>
      <c r="F25" s="13" t="n">
        <v>171</v>
      </c>
      <c r="G25" s="14">
        <f>E25/D25</f>
        <v/>
      </c>
      <c r="H25" s="14">
        <f>F25/D25</f>
        <v/>
      </c>
      <c r="I25" s="14">
        <f>VLOOKUP(A25,Benchmarks!$A$3:$D$5,2,FALSE)</f>
        <v/>
      </c>
      <c r="J25" s="15">
        <f>G25-I25</f>
        <v/>
      </c>
    </row>
    <row r="26" ht="18" customHeight="1">
      <c r="A26" s="16" t="inlineStr">
        <is>
          <t>Intranet</t>
        </is>
      </c>
      <c r="B26" s="17" t="inlineStr">
        <is>
          <t>Dec 2024</t>
        </is>
      </c>
      <c r="C26" s="16" t="inlineStr">
        <is>
          <t>Monthly Highlights Hub</t>
        </is>
      </c>
      <c r="D26" s="17" t="n">
        <v>905</v>
      </c>
      <c r="E26" s="17" t="n">
        <v>325</v>
      </c>
      <c r="F26" s="17" t="n">
        <v>138</v>
      </c>
      <c r="G26" s="18">
        <f>E26/D26</f>
        <v/>
      </c>
      <c r="H26" s="18">
        <f>F26/D26</f>
        <v/>
      </c>
      <c r="I26" s="18">
        <f>VLOOKUP(A26,Benchmarks!$A$3:$D$5,2,FALSE)</f>
        <v/>
      </c>
      <c r="J26" s="19">
        <f>G26-I26</f>
        <v/>
      </c>
    </row>
    <row r="27" ht="18" customHeight="1">
      <c r="A27" s="12" t="inlineStr">
        <is>
          <t>LinkedIn</t>
        </is>
      </c>
      <c r="B27" s="13" t="inlineStr">
        <is>
          <t>Jan 2024</t>
        </is>
      </c>
      <c r="C27" s="12" t="inlineStr">
        <is>
          <t>Thought Leadership &amp; News</t>
        </is>
      </c>
      <c r="D27" s="13" t="n">
        <v>4200</v>
      </c>
      <c r="E27" s="13" t="n">
        <v>147</v>
      </c>
      <c r="F27" s="13" t="n">
        <v>52</v>
      </c>
      <c r="G27" s="14">
        <f>E27/D27</f>
        <v/>
      </c>
      <c r="H27" s="14">
        <f>F27/D27</f>
        <v/>
      </c>
      <c r="I27" s="14">
        <f>VLOOKUP(A27,Benchmarks!$A$3:$D$5,2,FALSE)</f>
        <v/>
      </c>
      <c r="J27" s="15">
        <f>G27-I27</f>
        <v/>
      </c>
    </row>
    <row r="28" ht="18" customHeight="1">
      <c r="A28" s="16" t="inlineStr">
        <is>
          <t>LinkedIn</t>
        </is>
      </c>
      <c r="B28" s="17" t="inlineStr">
        <is>
          <t>Feb 2024</t>
        </is>
      </c>
      <c r="C28" s="16" t="inlineStr">
        <is>
          <t>Thought Leadership &amp; News</t>
        </is>
      </c>
      <c r="D28" s="17" t="n">
        <v>4350</v>
      </c>
      <c r="E28" s="17" t="n">
        <v>165</v>
      </c>
      <c r="F28" s="17" t="n">
        <v>58</v>
      </c>
      <c r="G28" s="18">
        <f>E28/D28</f>
        <v/>
      </c>
      <c r="H28" s="18">
        <f>F28/D28</f>
        <v/>
      </c>
      <c r="I28" s="18">
        <f>VLOOKUP(A28,Benchmarks!$A$3:$D$5,2,FALSE)</f>
        <v/>
      </c>
      <c r="J28" s="19">
        <f>G28-I28</f>
        <v/>
      </c>
    </row>
    <row r="29" ht="18" customHeight="1">
      <c r="A29" s="12" t="inlineStr">
        <is>
          <t>LinkedIn</t>
        </is>
      </c>
      <c r="B29" s="13" t="inlineStr">
        <is>
          <t>Mar 2024</t>
        </is>
      </c>
      <c r="C29" s="12" t="inlineStr">
        <is>
          <t>Q1 Industry Insights</t>
        </is>
      </c>
      <c r="D29" s="13" t="n">
        <v>5100</v>
      </c>
      <c r="E29" s="13" t="n">
        <v>214</v>
      </c>
      <c r="F29" s="13" t="n">
        <v>82</v>
      </c>
      <c r="G29" s="14">
        <f>E29/D29</f>
        <v/>
      </c>
      <c r="H29" s="14">
        <f>F29/D29</f>
        <v/>
      </c>
      <c r="I29" s="14">
        <f>VLOOKUP(A29,Benchmarks!$A$3:$D$5,2,FALSE)</f>
        <v/>
      </c>
      <c r="J29" s="15">
        <f>G29-I29</f>
        <v/>
      </c>
    </row>
    <row r="30" ht="18" customHeight="1">
      <c r="A30" s="16" t="inlineStr">
        <is>
          <t>LinkedIn</t>
        </is>
      </c>
      <c r="B30" s="17" t="inlineStr">
        <is>
          <t>Apr 2024</t>
        </is>
      </c>
      <c r="C30" s="16" t="inlineStr">
        <is>
          <t>Thought Leadership &amp; News</t>
        </is>
      </c>
      <c r="D30" s="17" t="n">
        <v>4800</v>
      </c>
      <c r="E30" s="17" t="n">
        <v>182</v>
      </c>
      <c r="F30" s="17" t="n">
        <v>65</v>
      </c>
      <c r="G30" s="18">
        <f>E30/D30</f>
        <v/>
      </c>
      <c r="H30" s="18">
        <f>F30/D30</f>
        <v/>
      </c>
      <c r="I30" s="18">
        <f>VLOOKUP(A30,Benchmarks!$A$3:$D$5,2,FALSE)</f>
        <v/>
      </c>
      <c r="J30" s="19">
        <f>G30-I30</f>
        <v/>
      </c>
    </row>
    <row r="31" ht="18" customHeight="1">
      <c r="A31" s="12" t="inlineStr">
        <is>
          <t>LinkedIn</t>
        </is>
      </c>
      <c r="B31" s="13" t="inlineStr">
        <is>
          <t>May 2024</t>
        </is>
      </c>
      <c r="C31" s="12" t="inlineStr">
        <is>
          <t>Thought Leadership &amp; News</t>
        </is>
      </c>
      <c r="D31" s="13" t="n">
        <v>4650</v>
      </c>
      <c r="E31" s="13" t="n">
        <v>158</v>
      </c>
      <c r="F31" s="13" t="n">
        <v>54</v>
      </c>
      <c r="G31" s="14">
        <f>E31/D31</f>
        <v/>
      </c>
      <c r="H31" s="14">
        <f>F31/D31</f>
        <v/>
      </c>
      <c r="I31" s="14">
        <f>VLOOKUP(A31,Benchmarks!$A$3:$D$5,2,FALSE)</f>
        <v/>
      </c>
      <c r="J31" s="15">
        <f>G31-I31</f>
        <v/>
      </c>
    </row>
    <row r="32" ht="18" customHeight="1">
      <c r="A32" s="16" t="inlineStr">
        <is>
          <t>LinkedIn</t>
        </is>
      </c>
      <c r="B32" s="17" t="inlineStr">
        <is>
          <t>Jun 2024</t>
        </is>
      </c>
      <c r="C32" s="16" t="inlineStr">
        <is>
          <t>Thought Leadership &amp; News</t>
        </is>
      </c>
      <c r="D32" s="17" t="n">
        <v>3900</v>
      </c>
      <c r="E32" s="17" t="n">
        <v>121</v>
      </c>
      <c r="F32" s="17" t="n">
        <v>41</v>
      </c>
      <c r="G32" s="18">
        <f>E32/D32</f>
        <v/>
      </c>
      <c r="H32" s="18">
        <f>F32/D32</f>
        <v/>
      </c>
      <c r="I32" s="18">
        <f>VLOOKUP(A32,Benchmarks!$A$3:$D$5,2,FALSE)</f>
        <v/>
      </c>
      <c r="J32" s="19">
        <f>G32-I32</f>
        <v/>
      </c>
    </row>
    <row r="33" ht="18" customHeight="1">
      <c r="A33" s="12" t="inlineStr">
        <is>
          <t>LinkedIn</t>
        </is>
      </c>
      <c r="B33" s="13" t="inlineStr">
        <is>
          <t>Jul 2024</t>
        </is>
      </c>
      <c r="C33" s="12" t="inlineStr">
        <is>
          <t>Thought Leadership &amp; News</t>
        </is>
      </c>
      <c r="D33" s="13" t="n">
        <v>3700</v>
      </c>
      <c r="E33" s="13" t="n">
        <v>108</v>
      </c>
      <c r="F33" s="13" t="n">
        <v>35</v>
      </c>
      <c r="G33" s="14">
        <f>E33/D33</f>
        <v/>
      </c>
      <c r="H33" s="14">
        <f>F33/D33</f>
        <v/>
      </c>
      <c r="I33" s="14">
        <f>VLOOKUP(A33,Benchmarks!$A$3:$D$5,2,FALSE)</f>
        <v/>
      </c>
      <c r="J33" s="15">
        <f>G33-I33</f>
        <v/>
      </c>
    </row>
    <row r="34" ht="18" customHeight="1">
      <c r="A34" s="16" t="inlineStr">
        <is>
          <t>LinkedIn</t>
        </is>
      </c>
      <c r="B34" s="17" t="inlineStr">
        <is>
          <t>Aug 2024</t>
        </is>
      </c>
      <c r="C34" s="16" t="inlineStr">
        <is>
          <t>Thought Leadership &amp; News</t>
        </is>
      </c>
      <c r="D34" s="17" t="n">
        <v>4100</v>
      </c>
      <c r="E34" s="17" t="n">
        <v>135</v>
      </c>
      <c r="F34" s="17" t="n">
        <v>46</v>
      </c>
      <c r="G34" s="18">
        <f>E34/D34</f>
        <v/>
      </c>
      <c r="H34" s="18">
        <f>F34/D34</f>
        <v/>
      </c>
      <c r="I34" s="18">
        <f>VLOOKUP(A34,Benchmarks!$A$3:$D$5,2,FALSE)</f>
        <v/>
      </c>
      <c r="J34" s="19">
        <f>G34-I34</f>
        <v/>
      </c>
    </row>
    <row r="35" ht="18" customHeight="1">
      <c r="A35" s="12" t="inlineStr">
        <is>
          <t>LinkedIn</t>
        </is>
      </c>
      <c r="B35" s="13" t="inlineStr">
        <is>
          <t>Sep 2024</t>
        </is>
      </c>
      <c r="C35" s="12" t="inlineStr">
        <is>
          <t>Q3 Industry Insights</t>
        </is>
      </c>
      <c r="D35" s="13" t="n">
        <v>5300</v>
      </c>
      <c r="E35" s="13" t="n">
        <v>228</v>
      </c>
      <c r="F35" s="13" t="n">
        <v>89</v>
      </c>
      <c r="G35" s="14">
        <f>E35/D35</f>
        <v/>
      </c>
      <c r="H35" s="14">
        <f>F35/D35</f>
        <v/>
      </c>
      <c r="I35" s="14">
        <f>VLOOKUP(A35,Benchmarks!$A$3:$D$5,2,FALSE)</f>
        <v/>
      </c>
      <c r="J35" s="15">
        <f>G35-I35</f>
        <v/>
      </c>
    </row>
    <row r="36" ht="18" customHeight="1">
      <c r="A36" s="16" t="inlineStr">
        <is>
          <t>LinkedIn</t>
        </is>
      </c>
      <c r="B36" s="17" t="inlineStr">
        <is>
          <t>Oct 2024</t>
        </is>
      </c>
      <c r="C36" s="16" t="inlineStr">
        <is>
          <t>Thought Leadership &amp; News</t>
        </is>
      </c>
      <c r="D36" s="17" t="n">
        <v>5800</v>
      </c>
      <c r="E36" s="17" t="n">
        <v>261</v>
      </c>
      <c r="F36" s="17" t="n">
        <v>104</v>
      </c>
      <c r="G36" s="18">
        <f>E36/D36</f>
        <v/>
      </c>
      <c r="H36" s="18">
        <f>F36/D36</f>
        <v/>
      </c>
      <c r="I36" s="18">
        <f>VLOOKUP(A36,Benchmarks!$A$3:$D$5,2,FALSE)</f>
        <v/>
      </c>
      <c r="J36" s="19">
        <f>G36-I36</f>
        <v/>
      </c>
    </row>
    <row r="37" ht="18" customHeight="1">
      <c r="A37" s="12" t="inlineStr">
        <is>
          <t>LinkedIn</t>
        </is>
      </c>
      <c r="B37" s="13" t="inlineStr">
        <is>
          <t>Nov 2024</t>
        </is>
      </c>
      <c r="C37" s="12" t="inlineStr">
        <is>
          <t>Year-End Industry Review</t>
        </is>
      </c>
      <c r="D37" s="13" t="n">
        <v>6200</v>
      </c>
      <c r="E37" s="13" t="n">
        <v>285</v>
      </c>
      <c r="F37" s="13" t="n">
        <v>118</v>
      </c>
      <c r="G37" s="14">
        <f>E37/D37</f>
        <v/>
      </c>
      <c r="H37" s="14">
        <f>F37/D37</f>
        <v/>
      </c>
      <c r="I37" s="14">
        <f>VLOOKUP(A37,Benchmarks!$A$3:$D$5,2,FALSE)</f>
        <v/>
      </c>
      <c r="J37" s="15">
        <f>G37-I37</f>
        <v/>
      </c>
    </row>
    <row r="38" ht="18" customHeight="1">
      <c r="A38" s="16" t="inlineStr">
        <is>
          <t>LinkedIn</t>
        </is>
      </c>
      <c r="B38" s="17" t="inlineStr">
        <is>
          <t>Dec 2024</t>
        </is>
      </c>
      <c r="C38" s="16" t="inlineStr">
        <is>
          <t>Thought Leadership &amp; News</t>
        </is>
      </c>
      <c r="D38" s="17" t="n">
        <v>5100</v>
      </c>
      <c r="E38" s="17" t="n">
        <v>194</v>
      </c>
      <c r="F38" s="17" t="n">
        <v>72</v>
      </c>
      <c r="G38" s="18">
        <f>E38/D38</f>
        <v/>
      </c>
      <c r="H38" s="18">
        <f>F38/D38</f>
        <v/>
      </c>
      <c r="I38" s="18">
        <f>VLOOKUP(A38,Benchmarks!$A$3:$D$5,2,FALSE)</f>
        <v/>
      </c>
      <c r="J38" s="19">
        <f>G38-I38</f>
        <v/>
      </c>
    </row>
  </sheetData>
  <mergeCells count="1">
    <mergeCell ref="A1:J1"/>
  </mergeCells>
  <conditionalFormatting sqref="J3:J3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7A39"/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48" customWidth="1" min="4" max="4"/>
  </cols>
  <sheetData>
    <row r="1" ht="28" customHeight="1">
      <c r="A1" s="20" t="inlineStr">
        <is>
          <t>Channel Benchmarks — Reference Table (used by VLOOKUP in Raw Data)</t>
        </is>
      </c>
    </row>
    <row r="2" ht="22" customHeight="1">
      <c r="A2" s="11" t="inlineStr">
        <is>
          <t>Channel</t>
        </is>
      </c>
      <c r="B2" s="11" t="inlineStr">
        <is>
          <t>Benchmark Eng. Rate</t>
        </is>
      </c>
      <c r="C2" s="11" t="inlineStr">
        <is>
          <t>Benchmark CTR</t>
        </is>
      </c>
      <c r="D2" s="11" t="inlineStr">
        <is>
          <t>Notes</t>
        </is>
      </c>
    </row>
    <row r="3" ht="18" customHeight="1">
      <c r="A3" s="21" t="inlineStr">
        <is>
          <t>Email Newsletter</t>
        </is>
      </c>
      <c r="B3" s="22" t="n">
        <v>0.47</v>
      </c>
      <c r="C3" s="22" t="n">
        <v>0.08</v>
      </c>
      <c r="D3" s="21" t="inlineStr">
        <is>
          <t>Industry avg open rate for internal email comms</t>
        </is>
      </c>
    </row>
    <row r="4" ht="18" customHeight="1">
      <c r="A4" s="23" t="inlineStr">
        <is>
          <t>Intranet</t>
        </is>
      </c>
      <c r="B4" s="24" t="n">
        <v>0.35</v>
      </c>
      <c r="C4" s="24" t="n">
        <v>0.15</v>
      </c>
      <c r="D4" s="23" t="inlineStr">
        <is>
          <t>Internal target for monthly unique visitor rate</t>
        </is>
      </c>
    </row>
    <row r="5" ht="18" customHeight="1">
      <c r="A5" s="21" t="inlineStr">
        <is>
          <t>LinkedIn</t>
        </is>
      </c>
      <c r="B5" s="22" t="n">
        <v>0.035</v>
      </c>
      <c r="C5" s="22" t="n">
        <v>0.012</v>
      </c>
      <c r="D5" s="21" t="inlineStr">
        <is>
          <t>Industry avg engagement rate for B2B company pages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D7A39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4" customWidth="1" min="4" max="4"/>
    <col width="16" customWidth="1" min="5" max="5"/>
    <col width="12" customWidth="1" min="6" max="6"/>
    <col width="22" customWidth="1" min="7" max="7"/>
  </cols>
  <sheetData>
    <row r="1" ht="28" customHeight="1">
      <c r="A1" s="10" t="inlineStr">
        <is>
          <t>Channel Summary — Full Year 2024</t>
        </is>
      </c>
    </row>
    <row r="2" ht="22" customHeight="1">
      <c r="A2" s="11" t="inlineStr">
        <is>
          <t>Channel</t>
        </is>
      </c>
      <c r="B2" s="11" t="inlineStr">
        <is>
          <t>Total Reach</t>
        </is>
      </c>
      <c r="C2" s="11" t="inlineStr">
        <is>
          <t>Total Engagements</t>
        </is>
      </c>
      <c r="D2" s="11" t="inlineStr">
        <is>
          <t>Total Clicks</t>
        </is>
      </c>
      <c r="E2" s="11" t="inlineStr">
        <is>
          <t>Avg Eng. Rate</t>
        </is>
      </c>
      <c r="F2" s="11" t="inlineStr">
        <is>
          <t>Avg CTR</t>
        </is>
      </c>
      <c r="G2" s="11" t="inlineStr">
        <is>
          <t>Benchmark Eng. Rate</t>
        </is>
      </c>
    </row>
    <row r="3" ht="18" customHeight="1">
      <c r="A3" s="21" t="inlineStr">
        <is>
          <t>Email Newsletter</t>
        </is>
      </c>
      <c r="B3" s="25" t="n">
        <v>10782</v>
      </c>
      <c r="C3" s="25" t="n">
        <v>5476</v>
      </c>
      <c r="D3" s="25" t="n">
        <v>872</v>
      </c>
      <c r="E3" s="22" t="n"/>
      <c r="F3" s="22" t="n"/>
      <c r="G3" s="22" t="n"/>
    </row>
    <row r="4" ht="18" customHeight="1">
      <c r="A4" s="23" t="inlineStr">
        <is>
          <t>Intranet</t>
        </is>
      </c>
      <c r="B4" s="26" t="n">
        <v>10782</v>
      </c>
      <c r="C4" s="26" t="n">
        <v>3786</v>
      </c>
      <c r="D4" s="26" t="n">
        <v>1609</v>
      </c>
      <c r="E4" s="24" t="n"/>
      <c r="F4" s="24" t="n"/>
      <c r="G4" s="24" t="n"/>
    </row>
    <row r="5" ht="18" customHeight="1">
      <c r="A5" s="21" t="inlineStr">
        <is>
          <t>LinkedIn</t>
        </is>
      </c>
      <c r="B5" s="25" t="n">
        <v>57200</v>
      </c>
      <c r="C5" s="25" t="n">
        <v>2198</v>
      </c>
      <c r="D5" s="25" t="n">
        <v>816</v>
      </c>
      <c r="E5" s="22" t="n"/>
      <c r="F5" s="22" t="n"/>
      <c r="G5" s="22" t="n"/>
    </row>
    <row r="6" ht="18" customHeight="1">
      <c r="A6" s="27" t="inlineStr">
        <is>
          <t>All Channels</t>
        </is>
      </c>
      <c r="B6" s="28" t="n">
        <v>78764</v>
      </c>
      <c r="C6" s="28" t="n">
        <v>11460</v>
      </c>
      <c r="D6" s="28" t="n">
        <v>3297</v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3D7A39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4" customWidth="1" min="5" max="5"/>
    <col width="18" customWidth="1" min="6" max="6"/>
  </cols>
  <sheetData>
    <row r="1" ht="28" customHeight="1">
      <c r="A1" s="10" t="inlineStr">
        <is>
          <t>Monthly Engagement Rate Trend — Email Newsletter 2024</t>
        </is>
      </c>
    </row>
    <row r="2" ht="22" customHeight="1">
      <c r="A2" s="11" t="inlineStr">
        <is>
          <t>Month</t>
        </is>
      </c>
      <c r="B2" s="11" t="inlineStr">
        <is>
          <t>Reach</t>
        </is>
      </c>
      <c r="C2" s="11" t="inlineStr">
        <is>
          <t>Engagements</t>
        </is>
      </c>
      <c r="D2" s="11" t="inlineStr">
        <is>
          <t>Clicks</t>
        </is>
      </c>
      <c r="E2" s="11" t="inlineStr">
        <is>
          <t>Eng. Rate</t>
        </is>
      </c>
      <c r="F2" s="11" t="inlineStr">
        <is>
          <t>Benchmark (47%)</t>
        </is>
      </c>
    </row>
    <row r="3" ht="18" customHeight="1">
      <c r="A3" s="25" t="inlineStr">
        <is>
          <t>Jan 2024</t>
        </is>
      </c>
      <c r="B3" s="25" t="n">
        <v>891</v>
      </c>
      <c r="C3" s="25" t="n">
        <v>423</v>
      </c>
      <c r="D3" s="25" t="n">
        <v>67</v>
      </c>
      <c r="E3" s="22" t="n">
        <v>0.4747474747474748</v>
      </c>
      <c r="F3" s="22" t="n">
        <v>0.47</v>
      </c>
    </row>
    <row r="4" ht="18" customHeight="1">
      <c r="A4" s="26" t="inlineStr">
        <is>
          <t>Feb 2024</t>
        </is>
      </c>
      <c r="B4" s="26" t="n">
        <v>891</v>
      </c>
      <c r="C4" s="26" t="n">
        <v>445</v>
      </c>
      <c r="D4" s="26" t="n">
        <v>71</v>
      </c>
      <c r="E4" s="24" t="n">
        <v>0.4994388327721661</v>
      </c>
      <c r="F4" s="24" t="n">
        <v>0.47</v>
      </c>
    </row>
    <row r="5" ht="18" customHeight="1">
      <c r="A5" s="25" t="inlineStr">
        <is>
          <t>Mar 2024</t>
        </is>
      </c>
      <c r="B5" s="25" t="n">
        <v>895</v>
      </c>
      <c r="C5" s="25" t="n">
        <v>501</v>
      </c>
      <c r="D5" s="25" t="n">
        <v>83</v>
      </c>
      <c r="E5" s="22" t="n">
        <v>0.5597765363128492</v>
      </c>
      <c r="F5" s="22" t="n">
        <v>0.47</v>
      </c>
    </row>
    <row r="6" ht="18" customHeight="1">
      <c r="A6" s="26" t="inlineStr">
        <is>
          <t>Apr 2024</t>
        </is>
      </c>
      <c r="B6" s="26" t="n">
        <v>895</v>
      </c>
      <c r="C6" s="26" t="n">
        <v>478</v>
      </c>
      <c r="D6" s="26" t="n">
        <v>74</v>
      </c>
      <c r="E6" s="24" t="n">
        <v>0.5340782122905028</v>
      </c>
      <c r="F6" s="24" t="n">
        <v>0.47</v>
      </c>
    </row>
    <row r="7" ht="18" customHeight="1">
      <c r="A7" s="25" t="inlineStr">
        <is>
          <t>May 2024</t>
        </is>
      </c>
      <c r="B7" s="25" t="n">
        <v>898</v>
      </c>
      <c r="C7" s="25" t="n">
        <v>432</v>
      </c>
      <c r="D7" s="25" t="n">
        <v>68</v>
      </c>
      <c r="E7" s="22" t="n">
        <v>0.4810690423162584</v>
      </c>
      <c r="F7" s="22" t="n">
        <v>0.47</v>
      </c>
    </row>
    <row r="8" ht="18" customHeight="1">
      <c r="A8" s="26" t="inlineStr">
        <is>
          <t>Jun 2024</t>
        </is>
      </c>
      <c r="B8" s="26" t="n">
        <v>898</v>
      </c>
      <c r="C8" s="26" t="n">
        <v>395</v>
      </c>
      <c r="D8" s="26" t="n">
        <v>58</v>
      </c>
      <c r="E8" s="24" t="n">
        <v>0.4398663697104677</v>
      </c>
      <c r="F8" s="24" t="n">
        <v>0.47</v>
      </c>
    </row>
    <row r="9" ht="18" customHeight="1">
      <c r="A9" s="25" t="inlineStr">
        <is>
          <t>Jul 2024</t>
        </is>
      </c>
      <c r="B9" s="25" t="n">
        <v>900</v>
      </c>
      <c r="C9" s="25" t="n">
        <v>382</v>
      </c>
      <c r="D9" s="25" t="n">
        <v>52</v>
      </c>
      <c r="E9" s="22" t="n">
        <v>0.4244444444444445</v>
      </c>
      <c r="F9" s="22" t="n">
        <v>0.47</v>
      </c>
    </row>
    <row r="10" ht="18" customHeight="1">
      <c r="A10" s="26" t="inlineStr">
        <is>
          <t>Aug 2024</t>
        </is>
      </c>
      <c r="B10" s="26" t="n">
        <v>900</v>
      </c>
      <c r="C10" s="26" t="n">
        <v>398</v>
      </c>
      <c r="D10" s="26" t="n">
        <v>61</v>
      </c>
      <c r="E10" s="24" t="n">
        <v>0.4422222222222222</v>
      </c>
      <c r="F10" s="24" t="n">
        <v>0.47</v>
      </c>
    </row>
    <row r="11" ht="18" customHeight="1">
      <c r="A11" s="25" t="inlineStr">
        <is>
          <t>Sep 2024</t>
        </is>
      </c>
      <c r="B11" s="25" t="n">
        <v>902</v>
      </c>
      <c r="C11" s="25" t="n">
        <v>487</v>
      </c>
      <c r="D11" s="25" t="n">
        <v>79</v>
      </c>
      <c r="E11" s="22" t="n">
        <v>0.5399113082039911</v>
      </c>
      <c r="F11" s="22" t="n">
        <v>0.47</v>
      </c>
    </row>
    <row r="12" ht="18" customHeight="1">
      <c r="A12" s="26" t="inlineStr">
        <is>
          <t>Oct 2024</t>
        </is>
      </c>
      <c r="B12" s="26" t="n">
        <v>902</v>
      </c>
      <c r="C12" s="26" t="n">
        <v>512</v>
      </c>
      <c r="D12" s="26" t="n">
        <v>88</v>
      </c>
      <c r="E12" s="24" t="n">
        <v>0.5676274944567627</v>
      </c>
      <c r="F12" s="24" t="n">
        <v>0.47</v>
      </c>
    </row>
    <row r="13" ht="18" customHeight="1">
      <c r="A13" s="25" t="inlineStr">
        <is>
          <t>Nov 2024</t>
        </is>
      </c>
      <c r="B13" s="25" t="n">
        <v>905</v>
      </c>
      <c r="C13" s="25" t="n">
        <v>534</v>
      </c>
      <c r="D13" s="25" t="n">
        <v>95</v>
      </c>
      <c r="E13" s="22" t="n">
        <v>0.5900552486187846</v>
      </c>
      <c r="F13" s="22" t="n">
        <v>0.47</v>
      </c>
    </row>
    <row r="14" ht="18" customHeight="1">
      <c r="A14" s="26" t="inlineStr">
        <is>
          <t>Dec 2024</t>
        </is>
      </c>
      <c r="B14" s="26" t="n">
        <v>905</v>
      </c>
      <c r="C14" s="26" t="n">
        <v>489</v>
      </c>
      <c r="D14" s="26" t="n">
        <v>76</v>
      </c>
      <c r="E14" s="24" t="n">
        <v>0.5403314917127072</v>
      </c>
      <c r="F14" s="24" t="n">
        <v>0.47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2026-04-05T10:04:27Z</dcterms:created>
  <dcterms:modified xmlns:dcterms="http://purl.org/dc/terms/" xmlns:xsi="http://www.w3.org/2001/XMLSchema-instance" xsi:type="dcterms:W3CDTF">2026-04-05T10:04:28Z</dcterms:modified>
</cp:coreProperties>
</file>